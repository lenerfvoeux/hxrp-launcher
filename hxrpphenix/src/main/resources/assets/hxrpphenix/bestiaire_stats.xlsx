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oss" sheetId="2" state="visible" r:id="rId4"/>
    <sheet name="Attaques" sheetId="3" state="visible" r:id="rId5"/>
    <sheet name="Sbires" sheetId="4" state="visible" r:id="rId6"/>
    <sheet name="Appâts" sheetId="5" state="visible" r:id="rId7"/>
    <sheet name="Butins" sheetId="6" state="visible" r:id="rId8"/>
  </sheets>
  <definedNames>
    <definedName function="false" hidden="true" localSheetId="4" name="_xlnm._FilterDatabase" vbProcedure="false">Appâts!$A$1:$H$13</definedName>
    <definedName function="false" hidden="true" localSheetId="2" name="_xlnm._FilterDatabase" vbProcedure="false">Attaques!$A$1:$L$92</definedName>
    <definedName function="false" hidden="true" localSheetId="1" name="_xlnm._FilterDatabase" vbProcedure="false">Boss!$A$1:$Q$30</definedName>
    <definedName function="false" hidden="true" localSheetId="5" name="_xlnm._FilterDatabase" vbProcedure="false">Butins!$A$1:$G$20</definedName>
    <definedName function="false" hidden="true" localSheetId="3" name="_xlnm._FilterDatabase" vbProcedure="false">Sbires!$A$1:$K$8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<sst xmlns="http://schemas.openxmlformats.org/spreadsheetml/2006/main" count="688" uniqueCount="463">
  <si>
    <t xml:space="preserve">Bestiaire HxRP — réglages des boss</t>
  </si>
  <si>
    <t xml:space="preserve">Fichier lu par le mod hxrpbestiaire au démarrage du serveur, et rechargé avec /bestiaire recharger. Modifier sans recompiler, comme pour le mod de Nen.</t>
  </si>
  <si>
    <t xml:space="preserve">Ce qu'on modifie</t>
  </si>
  <si>
    <t xml:space="preserve">Texte bleu = valeur à régler. Texte noir = calcul automatique, ne pas toucher.</t>
  </si>
  <si>
    <t xml:space="preserve">Ne pas renommer les identifiants (colonnes « id ») : le mod s'en sert pour retrouver le boss, l'attaque ou le butin.</t>
  </si>
  <si>
    <t xml:space="preserve">Unités</t>
  </si>
  <si>
    <t xml:space="preserve">PV et dégâts : en points de vie Minecraft (2 points = 1 cœur).</t>
  </si>
  <si>
    <t xml:space="preserve">Portée, rayon, distance : en blocs. Recharge, durée, délai : en secondes. Vitesse : attribut Minecraft (joueur ≈ 0,1 ; zombie ≈ 0,23).</t>
  </si>
  <si>
    <t xml:space="preserve">Armure : 0 à 30 (attribut Minecraft). Robustesse : 0 à 20. Recul : 0 = repoussé normalement, 1 = jamais repoussé.</t>
  </si>
  <si>
    <t xml:space="preserve">Chance : entre 0 et 1 (0,25 = 25 %).</t>
  </si>
  <si>
    <t xml:space="preserve">Valeurs provisoires</t>
  </si>
  <si>
    <t xml:space="preserve">Les valeurs actuelles sont volontairement très hautes, en attendant l'équilibrage en test. Les PV réels des joueurs sur HxRP ne sont pas encore connus.</t>
  </si>
  <si>
    <t xml:space="preserve">Onglets</t>
  </si>
  <si>
    <t xml:space="preserve">Boss : stats par phase. Attaques : chaque attaque de chaque boss. Sbires : invocations. Appâts : arrivée des boss. Butins : ce que lâchent les boss.</t>
  </si>
  <si>
    <t xml:space="preserve">Exemple de ligne : Boss, roi_des_glaces, phase 2, déclenchée à 50 % de vie, multiplicateur de dégâts 1,3.</t>
  </si>
  <si>
    <t xml:space="preserve">id</t>
  </si>
  <si>
    <t xml:space="preserve">Boss</t>
  </si>
  <si>
    <t xml:space="preserve">Phase</t>
  </si>
  <si>
    <t xml:space="preserve">Déclenchée à (part de vie restante)</t>
  </si>
  <si>
    <t xml:space="preserve">PV max</t>
  </si>
  <si>
    <t xml:space="preserve">Armure</t>
  </si>
  <si>
    <t xml:space="preserve">Robustesse armure</t>
  </si>
  <si>
    <t xml:space="preserve">Résistance au recul</t>
  </si>
  <si>
    <t xml:space="preserve">Vitesse</t>
  </si>
  <si>
    <t xml:space="preserve">Multiplicateur de dégâts</t>
  </si>
  <si>
    <t xml:space="preserve">Multiplicateur de portée</t>
  </si>
  <si>
    <t xml:space="preserve">Pause entre attaques (s)</t>
  </si>
  <si>
    <t xml:space="preserve">Vie reprise en entrant dans la phase (part)</t>
  </si>
  <si>
    <t xml:space="preserve">Rayon de ciblage (blocs)</t>
  </si>
  <si>
    <t xml:space="preserve">Rayon d'arène (blocs)</t>
  </si>
  <si>
    <t xml:space="preserve">PV totaux à vaincre</t>
  </si>
  <si>
    <t xml:space="preserve">Dégâts effectifs d'un coup de 20 PV</t>
  </si>
  <si>
    <t xml:space="preserve">phenix</t>
  </si>
  <si>
    <t xml:space="preserve">Phénix</t>
  </si>
  <si>
    <t xml:space="preserve">reine_guepe</t>
  </si>
  <si>
    <t xml:space="preserve">Reine-guêpe</t>
  </si>
  <si>
    <t xml:space="preserve">xerra</t>
  </si>
  <si>
    <t xml:space="preserve">Xerra, mère-araignée</t>
  </si>
  <si>
    <t xml:space="preserve">kraken</t>
  </si>
  <si>
    <t xml:space="preserve">Kraken des abysses</t>
  </si>
  <si>
    <t xml:space="preserve">calamar_des_sables</t>
  </si>
  <si>
    <t xml:space="preserve">Calamar des sables</t>
  </si>
  <si>
    <t xml:space="preserve">roi_des_glaces</t>
  </si>
  <si>
    <t xml:space="preserve">Roi des glaces</t>
  </si>
  <si>
    <t xml:space="preserve">demon_noir</t>
  </si>
  <si>
    <t xml:space="preserve">Démon noir du Continent noir</t>
  </si>
  <si>
    <t xml:space="preserve">demon_de_lave</t>
  </si>
  <si>
    <t xml:space="preserve">Démon de lave</t>
  </si>
  <si>
    <t xml:space="preserve">ai</t>
  </si>
  <si>
    <t xml:space="preserve">Aï, forme de vie gazeuse</t>
  </si>
  <si>
    <t xml:space="preserve">necromancien</t>
  </si>
  <si>
    <t xml:space="preserve">Nécromancien</t>
  </si>
  <si>
    <t xml:space="preserve">abomination</t>
  </si>
  <si>
    <t xml:space="preserve">Abomination, porteuse de Zobae</t>
  </si>
  <si>
    <t xml:space="preserve">baleine</t>
  </si>
  <si>
    <t xml:space="preserve">Baleine de l'île</t>
  </si>
  <si>
    <t xml:space="preserve">Phase 1 : la ligne donne aussi PV, ciblage et arène pour tout le combat. Phase 3 : le boss reprend la part de vie indiquée (1 = toute sa vie). Colonnes P et Q calculées.</t>
  </si>
  <si>
    <t xml:space="preserve">id boss</t>
  </si>
  <si>
    <t xml:space="preserve">id attaque</t>
  </si>
  <si>
    <t xml:space="preserve">Attaque</t>
  </si>
  <si>
    <t xml:space="preserve">Dès la phase</t>
  </si>
  <si>
    <t xml:space="preserve">Dégâts (PV, avant multiplicateur)</t>
  </si>
  <si>
    <t xml:space="preserve">Portée (blocs)</t>
  </si>
  <si>
    <t xml:space="preserve">Largeur ou rayon (blocs)</t>
  </si>
  <si>
    <t xml:space="preserve">Recharge (s)</t>
  </si>
  <si>
    <t xml:space="preserve">Effet</t>
  </si>
  <si>
    <t xml:space="preserve">Durée de l'effet (s)</t>
  </si>
  <si>
    <t xml:space="preserve">Poids (fréquence)</t>
  </si>
  <si>
    <t xml:space="preserve">Animation</t>
  </si>
  <si>
    <t xml:space="preserve">ronde</t>
  </si>
  <si>
    <t xml:space="preserve">Ronde</t>
  </si>
  <si>
    <t xml:space="preserve">boule</t>
  </si>
  <si>
    <t xml:space="preserve">Boule de feu</t>
  </si>
  <si>
    <t xml:space="preserve">feu</t>
  </si>
  <si>
    <t xml:space="preserve">souffle</t>
  </si>
  <si>
    <t xml:space="preserve">Souffle</t>
  </si>
  <si>
    <t xml:space="preserve">pluie</t>
  </si>
  <si>
    <t xml:space="preserve">Pluie de plumes</t>
  </si>
  <si>
    <t xml:space="preserve">plongee</t>
  </si>
  <si>
    <t xml:space="preserve">Plongée</t>
  </si>
  <si>
    <t xml:space="preserve">perche</t>
  </si>
  <si>
    <t xml:space="preserve">Perché</t>
  </si>
  <si>
    <t xml:space="preserve">vulnérable</t>
  </si>
  <si>
    <t xml:space="preserve">tempete</t>
  </si>
  <si>
    <t xml:space="preserve">Tempête de feu</t>
  </si>
  <si>
    <t xml:space="preserve">nova</t>
  </si>
  <si>
    <t xml:space="preserve">Nova solaire</t>
  </si>
  <si>
    <t xml:space="preserve">feu + recul</t>
  </si>
  <si>
    <t xml:space="preserve">nova (à créer)</t>
  </si>
  <si>
    <t xml:space="preserve">taille_droite</t>
  </si>
  <si>
    <t xml:space="preserve">Taille droite</t>
  </si>
  <si>
    <t xml:space="preserve">right_cute</t>
  </si>
  <si>
    <t xml:space="preserve">taille_gauche</t>
  </si>
  <si>
    <t xml:space="preserve">Taille gauche</t>
  </si>
  <si>
    <t xml:space="preserve">left_cute</t>
  </si>
  <si>
    <t xml:space="preserve">taille_haute</t>
  </si>
  <si>
    <t xml:space="preserve">Taille haute</t>
  </si>
  <si>
    <t xml:space="preserve">up_cute</t>
  </si>
  <si>
    <t xml:space="preserve">taille_basse</t>
  </si>
  <si>
    <t xml:space="preserve">Taille basse</t>
  </si>
  <si>
    <t xml:space="preserve">below_cute</t>
  </si>
  <si>
    <t xml:space="preserve">hachage</t>
  </si>
  <si>
    <t xml:space="preserve">Hachage</t>
  </si>
  <si>
    <t xml:space="preserve">minced</t>
  </si>
  <si>
    <t xml:space="preserve">onde_air</t>
  </si>
  <si>
    <t xml:space="preserve">Onde d'air</t>
  </si>
  <si>
    <t xml:space="preserve">recul</t>
  </si>
  <si>
    <t xml:space="preserve">air_wave</t>
  </si>
  <si>
    <t xml:space="preserve">essaim</t>
  </si>
  <si>
    <t xml:space="preserve">Essaim</t>
  </si>
  <si>
    <t xml:space="preserve">invocation</t>
  </si>
  <si>
    <t xml:space="preserve">summon</t>
  </si>
  <si>
    <t xml:space="preserve">regard_brulant</t>
  </si>
  <si>
    <t xml:space="preserve">Regard brûlant</t>
  </si>
  <si>
    <t xml:space="preserve">eye_cast</t>
  </si>
  <si>
    <t xml:space="preserve">rafale_dards</t>
  </si>
  <si>
    <t xml:space="preserve">Rafale de dards</t>
  </si>
  <si>
    <t xml:space="preserve">poison</t>
  </si>
  <si>
    <t xml:space="preserve">tir_dards (à créer)</t>
  </si>
  <si>
    <t xml:space="preserve">pique</t>
  </si>
  <si>
    <t xml:space="preserve">Piqué</t>
  </si>
  <si>
    <t xml:space="preserve">pique (à créer)</t>
  </si>
  <si>
    <t xml:space="preserve">coup_patte</t>
  </si>
  <si>
    <t xml:space="preserve">Coup de patte</t>
  </si>
  <si>
    <t xml:space="preserve">swing_leg</t>
  </si>
  <si>
    <t xml:space="preserve">griffures</t>
  </si>
  <si>
    <t xml:space="preserve">Griffures</t>
  </si>
  <si>
    <t xml:space="preserve">saignement</t>
  </si>
  <si>
    <t xml:space="preserve">xerra_rake</t>
  </si>
  <si>
    <t xml:space="preserve">rugissement</t>
  </si>
  <si>
    <t xml:space="preserve">Rugissement</t>
  </si>
  <si>
    <t xml:space="preserve">lenteur</t>
  </si>
  <si>
    <t xml:space="preserve">xerra_roar</t>
  </si>
  <si>
    <t xml:space="preserve">couvee</t>
  </si>
  <si>
    <t xml:space="preserve">Couvée</t>
  </si>
  <si>
    <t xml:space="preserve">xerra_summon</t>
  </si>
  <si>
    <t xml:space="preserve">jet_toile</t>
  </si>
  <si>
    <t xml:space="preserve">Jet de toile</t>
  </si>
  <si>
    <t xml:space="preserve">immobilise</t>
  </si>
  <si>
    <t xml:space="preserve">jet_toile (à créer)</t>
  </si>
  <si>
    <t xml:space="preserve">graines_pieges</t>
  </si>
  <si>
    <t xml:space="preserve">Graines-pièges</t>
  </si>
  <si>
    <t xml:space="preserve">enracine</t>
  </si>
  <si>
    <t xml:space="preserve">xerra_summon_seed</t>
  </si>
  <si>
    <t xml:space="preserve">course</t>
  </si>
  <si>
    <t xml:space="preserve">Course</t>
  </si>
  <si>
    <t xml:space="preserve">fast_walk</t>
  </si>
  <si>
    <t xml:space="preserve">bond</t>
  </si>
  <si>
    <t xml:space="preserve">Bond</t>
  </si>
  <si>
    <t xml:space="preserve">bond (à créer)</t>
  </si>
  <si>
    <t xml:space="preserve">grande_couvee</t>
  </si>
  <si>
    <t xml:space="preserve">Grande couvée</t>
  </si>
  <si>
    <t xml:space="preserve">invocation + toiles</t>
  </si>
  <si>
    <t xml:space="preserve">tentacule_1</t>
  </si>
  <si>
    <t xml:space="preserve">Tentacule 1</t>
  </si>
  <si>
    <t xml:space="preserve">x1dr4_meleeattack_1</t>
  </si>
  <si>
    <t xml:space="preserve">tentacule_2</t>
  </si>
  <si>
    <t xml:space="preserve">Tentacule 2</t>
  </si>
  <si>
    <t xml:space="preserve">x1dr4_meleeattack_2</t>
  </si>
  <si>
    <t xml:space="preserve">tentacule_3</t>
  </si>
  <si>
    <t xml:space="preserve">Tentacule 3 (balayage)</t>
  </si>
  <si>
    <t xml:space="preserve">x1dr4_meleeattack_3</t>
  </si>
  <si>
    <t xml:space="preserve">repositionne</t>
  </si>
  <si>
    <t xml:space="preserve">immerse/emerge</t>
  </si>
  <si>
    <t xml:space="preserve">rayon</t>
  </si>
  <si>
    <t xml:space="preserve">Rayon</t>
  </si>
  <si>
    <t xml:space="preserve">x1dr4_beam_0</t>
  </si>
  <si>
    <t xml:space="preserve">charge</t>
  </si>
  <si>
    <t xml:space="preserve">Charge</t>
  </si>
  <si>
    <t xml:space="preserve">étourdi si frappé</t>
  </si>
  <si>
    <t xml:space="preserve">double_rayon</t>
  </si>
  <si>
    <t xml:space="preserve">Double rayon</t>
  </si>
  <si>
    <t xml:space="preserve">x1dr4_beam_1</t>
  </si>
  <si>
    <t xml:space="preserve">ponte</t>
  </si>
  <si>
    <t xml:space="preserve">Ponte</t>
  </si>
  <si>
    <t xml:space="preserve">eggs</t>
  </si>
  <si>
    <t xml:space="preserve">nuage_encre</t>
  </si>
  <si>
    <t xml:space="preserve">Nuage d'encre</t>
  </si>
  <si>
    <t xml:space="preserve">cécité</t>
  </si>
  <si>
    <t xml:space="preserve">nuage_encre (à créer)</t>
  </si>
  <si>
    <t xml:space="preserve">saisie</t>
  </si>
  <si>
    <t xml:space="preserve">Saisie</t>
  </si>
  <si>
    <t xml:space="preserve">projette</t>
  </si>
  <si>
    <t xml:space="preserve">saisie (à créer)</t>
  </si>
  <si>
    <t xml:space="preserve">rage_abysses</t>
  </si>
  <si>
    <t xml:space="preserve">Rage des abysses</t>
  </si>
  <si>
    <t xml:space="preserve">charge_2</t>
  </si>
  <si>
    <t xml:space="preserve">surgissement</t>
  </si>
  <si>
    <t xml:space="preserve">Surgissement</t>
  </si>
  <si>
    <t xml:space="preserve">emerge</t>
  </si>
  <si>
    <t xml:space="preserve">tentacules</t>
  </si>
  <si>
    <t xml:space="preserve">Tentacules</t>
  </si>
  <si>
    <t xml:space="preserve">x1dr4_meleeattack_1-3</t>
  </si>
  <si>
    <t xml:space="preserve">rayon_sable</t>
  </si>
  <si>
    <t xml:space="preserve">Rayon de sable</t>
  </si>
  <si>
    <t xml:space="preserve">enfouissement</t>
  </si>
  <si>
    <t xml:space="preserve">Enfouissement</t>
  </si>
  <si>
    <t xml:space="preserve">immerse</t>
  </si>
  <si>
    <t xml:space="preserve">charge_longue</t>
  </si>
  <si>
    <t xml:space="preserve">Charge longue</t>
  </si>
  <si>
    <t xml:space="preserve">tempete_sable</t>
  </si>
  <si>
    <t xml:space="preserve">Tempête de sable</t>
  </si>
  <si>
    <t xml:space="preserve">tempete_sable (à créer)</t>
  </si>
  <si>
    <t xml:space="preserve">aspiration</t>
  </si>
  <si>
    <t xml:space="preserve">Aspiration</t>
  </si>
  <si>
    <t xml:space="preserve">attire</t>
  </si>
  <si>
    <t xml:space="preserve">aspiration (à créer)</t>
  </si>
  <si>
    <t xml:space="preserve">coup_baton</t>
  </si>
  <si>
    <t xml:space="preserve">Coup de bâton</t>
  </si>
  <si>
    <t xml:space="preserve">meleeattack_1</t>
  </si>
  <si>
    <t xml:space="preserve">ecrasement</t>
  </si>
  <si>
    <t xml:space="preserve">Écrasement</t>
  </si>
  <si>
    <t xml:space="preserve">stomp</t>
  </si>
  <si>
    <t xml:space="preserve">appel_escorte</t>
  </si>
  <si>
    <t xml:space="preserve">Appel de l'escorte</t>
  </si>
  <si>
    <t xml:space="preserve">invocation_bras_leves (à créer)</t>
  </si>
  <si>
    <t xml:space="preserve">lance_glace</t>
  </si>
  <si>
    <t xml:space="preserve">Lance de glace</t>
  </si>
  <si>
    <t xml:space="preserve">lance_glace (à créer)</t>
  </si>
  <si>
    <t xml:space="preserve">rugissement_glacial</t>
  </si>
  <si>
    <t xml:space="preserve">Rugissement glacial</t>
  </si>
  <si>
    <t xml:space="preserve">sol gelé</t>
  </si>
  <si>
    <t xml:space="preserve">roar</t>
  </si>
  <si>
    <t xml:space="preserve">stalactites</t>
  </si>
  <si>
    <t xml:space="preserve">Pluie de stalactites</t>
  </si>
  <si>
    <t xml:space="preserve">stalactites (à créer)</t>
  </si>
  <si>
    <t xml:space="preserve">blizzard</t>
  </si>
  <si>
    <t xml:space="preserve">Blizzard</t>
  </si>
  <si>
    <t xml:space="preserve">vue réduite</t>
  </si>
  <si>
    <t xml:space="preserve">combo_1</t>
  </si>
  <si>
    <t xml:space="preserve">Combo 1</t>
  </si>
  <si>
    <t xml:space="preserve">combo_2</t>
  </si>
  <si>
    <t xml:space="preserve">Combo 2</t>
  </si>
  <si>
    <t xml:space="preserve">meleeattack_2</t>
  </si>
  <si>
    <t xml:space="preserve">combo_3</t>
  </si>
  <si>
    <t xml:space="preserve">Combo 3</t>
  </si>
  <si>
    <t xml:space="preserve">meleeattack_3</t>
  </si>
  <si>
    <t xml:space="preserve">saut_ecrase</t>
  </si>
  <si>
    <t xml:space="preserve">Saut écrasé</t>
  </si>
  <si>
    <t xml:space="preserve">jump/jump_end</t>
  </si>
  <si>
    <t xml:space="preserve">charge_epaule</t>
  </si>
  <si>
    <t xml:space="preserve">Charge d'épaule</t>
  </si>
  <si>
    <t xml:space="preserve">renverse</t>
  </si>
  <si>
    <t xml:space="preserve">charge_epaule (à créer)</t>
  </si>
  <si>
    <t xml:space="preserve">combo_4</t>
  </si>
  <si>
    <t xml:space="preserve">Combo 4</t>
  </si>
  <si>
    <t xml:space="preserve">meleeattack_4</t>
  </si>
  <si>
    <t xml:space="preserve">combo_5</t>
  </si>
  <si>
    <t xml:space="preserve">Combo 5</t>
  </si>
  <si>
    <t xml:space="preserve">meleeattack_5</t>
  </si>
  <si>
    <t xml:space="preserve">meteores</t>
  </si>
  <si>
    <t xml:space="preserve">Pluie de météores sombres</t>
  </si>
  <si>
    <t xml:space="preserve">cast</t>
  </si>
  <si>
    <t xml:space="preserve">orbe</t>
  </si>
  <si>
    <t xml:space="preserve">Orbe sombre</t>
  </si>
  <si>
    <t xml:space="preserve">poursuit</t>
  </si>
  <si>
    <t xml:space="preserve">orbe (à créer)</t>
  </si>
  <si>
    <t xml:space="preserve">dechainement</t>
  </si>
  <si>
    <t xml:space="preserve">Déchaînement</t>
  </si>
  <si>
    <t xml:space="preserve">combos sans pause</t>
  </si>
  <si>
    <t xml:space="preserve">toutes</t>
  </si>
  <si>
    <t xml:space="preserve">rayon_feu</t>
  </si>
  <si>
    <t xml:space="preserve">Rayon de feu</t>
  </si>
  <si>
    <t xml:space="preserve">beam_1</t>
  </si>
  <si>
    <t xml:space="preserve">plongee_lave</t>
  </si>
  <si>
    <t xml:space="preserve">Plongée dans la lave</t>
  </si>
  <si>
    <t xml:space="preserve">under_lava</t>
  </si>
  <si>
    <t xml:space="preserve">coup_poing</t>
  </si>
  <si>
    <t xml:space="preserve">Coup de poing</t>
  </si>
  <si>
    <t xml:space="preserve">coup_poing (à créer)</t>
  </si>
  <si>
    <t xml:space="preserve">balayage</t>
  </si>
  <si>
    <t xml:space="preserve">Balayage du bras</t>
  </si>
  <si>
    <t xml:space="preserve">balayage (à créer)</t>
  </si>
  <si>
    <t xml:space="preserve">beam_2</t>
  </si>
  <si>
    <t xml:space="preserve">pluie_lave</t>
  </si>
  <si>
    <t xml:space="preserve">Rugissement volcanique</t>
  </si>
  <si>
    <t xml:space="preserve">jets_magma</t>
  </si>
  <si>
    <t xml:space="preserve">Jets de magma</t>
  </si>
  <si>
    <t xml:space="preserve">feu au sol</t>
  </si>
  <si>
    <t xml:space="preserve">jets_magma (à créer)</t>
  </si>
  <si>
    <t xml:space="preserve">aspiration_aura</t>
  </si>
  <si>
    <t xml:space="preserve">Aspiration d'aura</t>
  </si>
  <si>
    <t xml:space="preserve">draine vie et faim</t>
  </si>
  <si>
    <t xml:space="preserve">sucking_spirit</t>
  </si>
  <si>
    <t xml:space="preserve">griffes_ombre</t>
  </si>
  <si>
    <t xml:space="preserve">Griffes d'ombre</t>
  </si>
  <si>
    <t xml:space="preserve">griffes_ombre (à créer)</t>
  </si>
  <si>
    <t xml:space="preserve">grande_aspiration</t>
  </si>
  <si>
    <t xml:space="preserve">Grande aspiration</t>
  </si>
  <si>
    <t xml:space="preserve">draine + soigne Aï</t>
  </si>
  <si>
    <t xml:space="preserve">cri</t>
  </si>
  <si>
    <t xml:space="preserve">Cri</t>
  </si>
  <si>
    <t xml:space="preserve">nausée + faiblesse</t>
  </si>
  <si>
    <t xml:space="preserve">cri (à créer)</t>
  </si>
  <si>
    <t xml:space="preserve">disparition</t>
  </si>
  <si>
    <t xml:space="preserve">Disparition</t>
  </si>
  <si>
    <t xml:space="preserve">invisible</t>
  </si>
  <si>
    <t xml:space="preserve">disparition (à créer)</t>
  </si>
  <si>
    <t xml:space="preserve">voeu_maudit</t>
  </si>
  <si>
    <t xml:space="preserve">Vœu maudit</t>
  </si>
  <si>
    <t xml:space="preserve">effet négatif au hasard</t>
  </si>
  <si>
    <t xml:space="preserve">voeu_maudit (à créer)</t>
  </si>
  <si>
    <t xml:space="preserve">basic_melee</t>
  </si>
  <si>
    <t xml:space="preserve">frappe_sol</t>
  </si>
  <si>
    <t xml:space="preserve">Frappe au sol</t>
  </si>
  <si>
    <t xml:space="preserve">recul + lenteur</t>
  </si>
  <si>
    <t xml:space="preserve">staff_slam</t>
  </si>
  <si>
    <t xml:space="preserve">levee_morts</t>
  </si>
  <si>
    <t xml:space="preserve">Levée des morts</t>
  </si>
  <si>
    <t xml:space="preserve">invocation (à créer)</t>
  </si>
  <si>
    <t xml:space="preserve">boules_ame</t>
  </si>
  <si>
    <t xml:space="preserve">Boules d'âme</t>
  </si>
  <si>
    <t xml:space="preserve">boule_ame (à créer)</t>
  </si>
  <si>
    <t xml:space="preserve">teleportation</t>
  </si>
  <si>
    <t xml:space="preserve">Téléportation</t>
  </si>
  <si>
    <t xml:space="preserve">teleportation (à créer)</t>
  </si>
  <si>
    <t xml:space="preserve">coups</t>
  </si>
  <si>
    <t xml:space="preserve">Coups</t>
  </si>
  <si>
    <t xml:space="preserve">20 % maladie Virus</t>
  </si>
  <si>
    <t xml:space="preserve">meleeattack</t>
  </si>
  <si>
    <t xml:space="preserve">ressort derrière</t>
  </si>
  <si>
    <t xml:space="preserve">spawn + enfouissement (à créer)</t>
  </si>
  <si>
    <t xml:space="preserve">vomissure</t>
  </si>
  <si>
    <t xml:space="preserve">Vomissure</t>
  </si>
  <si>
    <t xml:space="preserve">vomissure (à créer)</t>
  </si>
  <si>
    <t xml:space="preserve">nage</t>
  </si>
  <si>
    <t xml:space="preserve">Nage en cercle</t>
  </si>
  <si>
    <t xml:space="preserve">nage (à créer)</t>
  </si>
  <si>
    <t xml:space="preserve">coup_queue</t>
  </si>
  <si>
    <t xml:space="preserve">Coup de queue</t>
  </si>
  <si>
    <t xml:space="preserve">coup_queue (à créer)</t>
  </si>
  <si>
    <t xml:space="preserve">vague</t>
  </si>
  <si>
    <t xml:space="preserve">Vague</t>
  </si>
  <si>
    <t xml:space="preserve">vague (à créer)</t>
  </si>
  <si>
    <t xml:space="preserve">saut</t>
  </si>
  <si>
    <t xml:space="preserve">Saut</t>
  </si>
  <si>
    <t xml:space="preserve">écrase</t>
  </si>
  <si>
    <t xml:space="preserve">saut (à créer)</t>
  </si>
  <si>
    <t xml:space="preserve">chant</t>
  </si>
  <si>
    <t xml:space="preserve">Chant</t>
  </si>
  <si>
    <t xml:space="preserve">étourdi</t>
  </si>
  <si>
    <t xml:space="preserve">chant (à créer)</t>
  </si>
  <si>
    <t xml:space="preserve">geyser</t>
  </si>
  <si>
    <t xml:space="preserve">Geyser</t>
  </si>
  <si>
    <t xml:space="preserve">projette en l'air</t>
  </si>
  <si>
    <t xml:space="preserve">geyser (à créer)</t>
  </si>
  <si>
    <t xml:space="preserve">Les dégâts sont multipliés par le multiplicateur de la phase en cours (onglet Boss). Une attaque reste disponible dans les phases suivantes.</t>
  </si>
  <si>
    <t xml:space="preserve">id sbire</t>
  </si>
  <si>
    <t xml:space="preserve">Sbire</t>
  </si>
  <si>
    <t xml:space="preserve">PV</t>
  </si>
  <si>
    <t xml:space="preserve">Dégâts (PV)</t>
  </si>
  <si>
    <t xml:space="preserve">Nombre min par appel</t>
  </si>
  <si>
    <t xml:space="preserve">Nombre max par appel</t>
  </si>
  <si>
    <t xml:space="preserve">Particularité</t>
  </si>
  <si>
    <t xml:space="preserve">Multiplicateur du nombre en phase 2</t>
  </si>
  <si>
    <t xml:space="preserve">Multiplicateur du nombre en phase 3</t>
  </si>
  <si>
    <t xml:space="preserve">guepe_soldat</t>
  </si>
  <si>
    <t xml:space="preserve">Guêpe soldat</t>
  </si>
  <si>
    <t xml:space="preserve">poison 4 s</t>
  </si>
  <si>
    <t xml:space="preserve">araignee_xerra</t>
  </si>
  <si>
    <t xml:space="preserve">Araignée de Xerra</t>
  </si>
  <si>
    <t xml:space="preserve">soigne Xerra en phase 3</t>
  </si>
  <si>
    <t xml:space="preserve">petit_kraken</t>
  </si>
  <si>
    <t xml:space="preserve">Petit kraken</t>
  </si>
  <si>
    <t xml:space="preserve">ice_rat</t>
  </si>
  <si>
    <t xml:space="preserve">Rat des glaces</t>
  </si>
  <si>
    <t xml:space="preserve">ice_tank</t>
  </si>
  <si>
    <t xml:space="preserve">Gobelin bouclier</t>
  </si>
  <si>
    <t xml:space="preserve">bloque de face</t>
  </si>
  <si>
    <t xml:space="preserve">ice_distance</t>
  </si>
  <si>
    <t xml:space="preserve">Gobelin archer</t>
  </si>
  <si>
    <t xml:space="preserve">flèches de glace</t>
  </si>
  <si>
    <t xml:space="preserve">archer_squelette</t>
  </si>
  <si>
    <t xml:space="preserve">Archer squelette</t>
  </si>
  <si>
    <t xml:space="preserve">soigne le Nécromancien tant qu'il vit</t>
  </si>
  <si>
    <t xml:space="preserve">Roi des glaces : chaque type est tiré séparément entre min et max, puis multiplié selon la phase.</t>
  </si>
  <si>
    <t xml:space="preserve">id appât</t>
  </si>
  <si>
    <t xml:space="preserve">Appât</t>
  </si>
  <si>
    <t xml:space="preserve">Délai min (s)</t>
  </si>
  <si>
    <t xml:space="preserve">Délai max (s)</t>
  </si>
  <si>
    <t xml:space="preserve">Distance d'apparition min (blocs)</t>
  </si>
  <si>
    <t xml:space="preserve">Distance d'apparition max (blocs)</t>
  </si>
  <si>
    <t xml:space="preserve">Condition de pose</t>
  </si>
  <si>
    <t xml:space="preserve">nid_de_braises</t>
  </si>
  <si>
    <t xml:space="preserve">Nid de braises</t>
  </si>
  <si>
    <t xml:space="preserve">au sol, à l'air libre</t>
  </si>
  <si>
    <t xml:space="preserve">rayon_de_miel_royal</t>
  </si>
  <si>
    <t xml:space="preserve">Rayon de miel royal</t>
  </si>
  <si>
    <t xml:space="preserve">jungle ou forêt</t>
  </si>
  <si>
    <t xml:space="preserve">cocon_de_proie</t>
  </si>
  <si>
    <t xml:space="preserve">Cocon de proie</t>
  </si>
  <si>
    <t xml:space="preserve">sous terre (pas de ciel)</t>
  </si>
  <si>
    <t xml:space="preserve">tonneau_appat_poisson</t>
  </si>
  <si>
    <t xml:space="preserve">Tonneau d'appât de poisson</t>
  </si>
  <si>
    <t xml:space="preserve">posé sur l'eau profonde</t>
  </si>
  <si>
    <t xml:space="preserve">tambour_des_sables</t>
  </si>
  <si>
    <t xml:space="preserve">Tambour des sables</t>
  </si>
  <si>
    <t xml:space="preserve">posé sur le sable</t>
  </si>
  <si>
    <t xml:space="preserve">cerf_pris_dans_la_glace</t>
  </si>
  <si>
    <t xml:space="preserve">Cerf pris dans la glace</t>
  </si>
  <si>
    <t xml:space="preserve">biome froid</t>
  </si>
  <si>
    <t xml:space="preserve">carcasse_de_sanglier</t>
  </si>
  <si>
    <t xml:space="preserve">Carcasse de sanglier</t>
  </si>
  <si>
    <t xml:space="preserve">au sol</t>
  </si>
  <si>
    <t xml:space="preserve">idole_d_obsidienne</t>
  </si>
  <si>
    <t xml:space="preserve">Idole d'obsidienne</t>
  </si>
  <si>
    <t xml:space="preserve">à moins de 3 blocs de la lave</t>
  </si>
  <si>
    <t xml:space="preserve">lanterne_des_voeux</t>
  </si>
  <si>
    <t xml:space="preserve">Lanterne des vœux</t>
  </si>
  <si>
    <t xml:space="preserve">la nuit, en marais</t>
  </si>
  <si>
    <t xml:space="preserve">cercueil_profane</t>
  </si>
  <si>
    <t xml:space="preserve">Cercueil profané</t>
  </si>
  <si>
    <t xml:space="preserve">charnier</t>
  </si>
  <si>
    <t xml:space="preserve">Charnier</t>
  </si>
  <si>
    <t xml:space="preserve">sous terre</t>
  </si>
  <si>
    <t xml:space="preserve">filet_de_krill</t>
  </si>
  <si>
    <t xml:space="preserve">Filet de krill lumineux</t>
  </si>
  <si>
    <t xml:space="preserve">posé sur l'eau d'océan</t>
  </si>
  <si>
    <t xml:space="preserve">id objet</t>
  </si>
  <si>
    <t xml:space="preserve">Objet</t>
  </si>
  <si>
    <t xml:space="preserve">Quantité min</t>
  </si>
  <si>
    <t xml:space="preserve">Quantité max</t>
  </si>
  <si>
    <t xml:space="preserve">Chance</t>
  </si>
  <si>
    <t xml:space="preserve">Quantité moyenne attendue</t>
  </si>
  <si>
    <t xml:space="preserve">plume_de_phenix</t>
  </si>
  <si>
    <t xml:space="preserve">Plume de phénix</t>
  </si>
  <si>
    <t xml:space="preserve">dard_de_reine</t>
  </si>
  <si>
    <t xml:space="preserve">Dard de reine</t>
  </si>
  <si>
    <t xml:space="preserve">gelee_royale_noire</t>
  </si>
  <si>
    <t xml:space="preserve">Gelée royale noire</t>
  </si>
  <si>
    <t xml:space="preserve">miel_noir</t>
  </si>
  <si>
    <t xml:space="preserve">Miel noir</t>
  </si>
  <si>
    <t xml:space="preserve">soie_de_xerra</t>
  </si>
  <si>
    <t xml:space="preserve">Soie de Xerra</t>
  </si>
  <si>
    <t xml:space="preserve">encre_des_abysses</t>
  </si>
  <si>
    <t xml:space="preserve">Encre des abysses</t>
  </si>
  <si>
    <t xml:space="preserve">tentacule_de_kraken</t>
  </si>
  <si>
    <t xml:space="preserve">Tentacule de kraken</t>
  </si>
  <si>
    <t xml:space="preserve">bile_des_sables</t>
  </si>
  <si>
    <t xml:space="preserve">Bile des sables</t>
  </si>
  <si>
    <t xml:space="preserve">chair_de_calamar_des_sables</t>
  </si>
  <si>
    <t xml:space="preserve">Chair de calamar des sables</t>
  </si>
  <si>
    <t xml:space="preserve">coeur_de_givre_eternel</t>
  </si>
  <si>
    <t xml:space="preserve">Cœur de givre éternel</t>
  </si>
  <si>
    <t xml:space="preserve">glace_eternelle</t>
  </si>
  <si>
    <t xml:space="preserve">Glace éternelle</t>
  </si>
  <si>
    <t xml:space="preserve">corne_du_demon_noir</t>
  </si>
  <si>
    <t xml:space="preserve">Corne du démon noir</t>
  </si>
  <si>
    <t xml:space="preserve">braise_demoniaque</t>
  </si>
  <si>
    <t xml:space="preserve">Braise démoniaque</t>
  </si>
  <si>
    <t xml:space="preserve">sel_de_lave</t>
  </si>
  <si>
    <t xml:space="preserve">Sel de lave</t>
  </si>
  <si>
    <t xml:space="preserve">ectoplasme_sombre</t>
  </si>
  <si>
    <t xml:space="preserve">Ectoplasme sombre</t>
  </si>
  <si>
    <t xml:space="preserve">poussiere_d_os_maudite</t>
  </si>
  <si>
    <t xml:space="preserve">Poussière d'os maudite</t>
  </si>
  <si>
    <t xml:space="preserve">chair_d_abomination</t>
  </si>
  <si>
    <t xml:space="preserve">Chair d'abomination</t>
  </si>
  <si>
    <t xml:space="preserve">huile_de_baleine</t>
  </si>
  <si>
    <t xml:space="preserve">Huile de baleine</t>
  </si>
  <si>
    <t xml:space="preserve">ambre_gris</t>
  </si>
  <si>
    <t xml:space="preserve">Ambre gris</t>
  </si>
  <si>
    <t xml:space="preserve">Butins à la mort du boss.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</si>
</sst>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A6A5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2A1E"/>
        <bgColor rgb="FF333300"/>
      </patternFill>
    </fill>
    <fill>
      <patternFill patternType="solid">
        <fgColor rgb="FFF6F1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2A1E"/>
          <bgColor rgb="FF000000"/>
        </patternFill>
      </fill>
    </dxf>
    <dxf>
      <fill>
        <patternFill patternType="solid">
          <fgColor rgb="FFF6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4"/>
      <rgbColor rgb="FF7A6A58"/>
      <rgbColor rgb="FF9999FF"/>
      <rgbColor rgb="FF993366"/>
      <rgbColor rgb="FFF6F1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6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8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7" min="16" style="0" width="14"/>
  </cols>
  <sheetData>
    <row r="1" customFormat="false" ht="33.7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</row>
    <row r="2" customFormat="false" ht="15" hidden="false" customHeight="false" outlineLevel="0" collapsed="false">
      <c r="A2" s="5" t="s">
        <v>32</v>
      </c>
      <c r="B2" s="5" t="s">
        <v>33</v>
      </c>
      <c r="C2" s="5" t="n">
        <v>1</v>
      </c>
      <c r="D2" s="6" t="n">
        <v>1</v>
      </c>
      <c r="E2" s="6" t="n">
        <v>3000</v>
      </c>
      <c r="F2" s="6" t="n">
        <v>22</v>
      </c>
      <c r="G2" s="6" t="n">
        <v>8</v>
      </c>
      <c r="H2" s="6" t="n">
        <v>1</v>
      </c>
      <c r="I2" s="6" t="n">
        <v>0.28</v>
      </c>
      <c r="J2" s="6" t="n">
        <v>3</v>
      </c>
      <c r="K2" s="6" t="n">
        <v>1.5</v>
      </c>
      <c r="L2" s="6" t="n">
        <v>3</v>
      </c>
      <c r="M2" s="6"/>
      <c r="N2" s="6" t="n">
        <v>24</v>
      </c>
      <c r="O2" s="6" t="n">
        <v>64</v>
      </c>
      <c r="P2" s="5" t="n">
        <f aca="false">IF(C2=1,E2*(1+COUNTIFS(A:A,A2,C:C,3)),"")</f>
        <v>6000</v>
      </c>
      <c r="Q2" s="5" t="n">
        <f aca="false">20*J2</f>
        <v>60</v>
      </c>
    </row>
    <row r="3" customFormat="false" ht="15" hidden="false" customHeight="false" outlineLevel="0" collapsed="false">
      <c r="A3" s="7" t="s">
        <v>32</v>
      </c>
      <c r="B3" s="7" t="s">
        <v>33</v>
      </c>
      <c r="C3" s="7" t="n">
        <v>2</v>
      </c>
      <c r="D3" s="8" t="n">
        <v>0.5</v>
      </c>
      <c r="E3" s="8" t="n">
        <v>3000</v>
      </c>
      <c r="F3" s="8" t="n">
        <v>22</v>
      </c>
      <c r="G3" s="8" t="n">
        <v>8</v>
      </c>
      <c r="H3" s="8" t="n">
        <v>1</v>
      </c>
      <c r="I3" s="8" t="n">
        <v>0.32</v>
      </c>
      <c r="J3" s="8" t="n">
        <v>3.9</v>
      </c>
      <c r="K3" s="8" t="n">
        <v>1.75</v>
      </c>
      <c r="L3" s="8" t="n">
        <v>2</v>
      </c>
      <c r="M3" s="8"/>
      <c r="N3" s="8"/>
      <c r="O3" s="8"/>
      <c r="P3" s="7" t="str">
        <f aca="false">IF(C3=1,E3*(1+COUNTIFS(A:A,A3,C:C,3)),"")</f>
        <v/>
      </c>
      <c r="Q3" s="7" t="n">
        <f aca="false">20*J3</f>
        <v>78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n">
        <v>3</v>
      </c>
      <c r="D4" s="6" t="n">
        <v>0</v>
      </c>
      <c r="E4" s="6" t="n">
        <v>3000</v>
      </c>
      <c r="F4" s="6" t="n">
        <v>24</v>
      </c>
      <c r="G4" s="6" t="n">
        <v>10</v>
      </c>
      <c r="H4" s="6" t="n">
        <v>1</v>
      </c>
      <c r="I4" s="6" t="n">
        <v>0.36</v>
      </c>
      <c r="J4" s="6" t="n">
        <v>4.8</v>
      </c>
      <c r="K4" s="6" t="n">
        <v>2</v>
      </c>
      <c r="L4" s="6" t="n">
        <v>1.5</v>
      </c>
      <c r="M4" s="6" t="n">
        <v>1</v>
      </c>
      <c r="N4" s="6"/>
      <c r="O4" s="6"/>
      <c r="P4" s="5" t="str">
        <f aca="false">IF(C4=1,E4*(1+COUNTIFS(A:A,A4,C:C,3)),"")</f>
        <v/>
      </c>
      <c r="Q4" s="5" t="n">
        <f aca="false">20*J4</f>
        <v>96</v>
      </c>
    </row>
    <row r="5" customFormat="false" ht="15" hidden="false" customHeight="false" outlineLevel="0" collapsed="false">
      <c r="A5" s="7" t="s">
        <v>34</v>
      </c>
      <c r="B5" s="7" t="s">
        <v>35</v>
      </c>
      <c r="C5" s="7" t="n">
        <v>1</v>
      </c>
      <c r="D5" s="8" t="n">
        <v>1</v>
      </c>
      <c r="E5" s="8" t="n">
        <v>4000</v>
      </c>
      <c r="F5" s="8" t="n">
        <v>22</v>
      </c>
      <c r="G5" s="8" t="n">
        <v>8</v>
      </c>
      <c r="H5" s="8" t="n">
        <v>1</v>
      </c>
      <c r="I5" s="8" t="n">
        <v>0.28</v>
      </c>
      <c r="J5" s="8" t="n">
        <v>3</v>
      </c>
      <c r="K5" s="8" t="n">
        <v>1.5</v>
      </c>
      <c r="L5" s="8" t="n">
        <v>3</v>
      </c>
      <c r="M5" s="8"/>
      <c r="N5" s="8" t="n">
        <v>24</v>
      </c>
      <c r="O5" s="8" t="n">
        <v>64</v>
      </c>
      <c r="P5" s="7" t="n">
        <f aca="false">IF(C5=1,E5*(1+COUNTIFS(A:A,A5,C:C,3)),"")</f>
        <v>4000</v>
      </c>
      <c r="Q5" s="7" t="n">
        <f aca="false">20*J5</f>
        <v>60</v>
      </c>
    </row>
    <row r="6" customFormat="false" ht="15" hidden="false" customHeight="false" outlineLevel="0" collapsed="false">
      <c r="A6" s="5" t="s">
        <v>34</v>
      </c>
      <c r="B6" s="5" t="s">
        <v>35</v>
      </c>
      <c r="C6" s="5" t="n">
        <v>2</v>
      </c>
      <c r="D6" s="6" t="n">
        <v>0.5</v>
      </c>
      <c r="E6" s="6" t="n">
        <v>4000</v>
      </c>
      <c r="F6" s="6" t="n">
        <v>22</v>
      </c>
      <c r="G6" s="6" t="n">
        <v>8</v>
      </c>
      <c r="H6" s="6" t="n">
        <v>1</v>
      </c>
      <c r="I6" s="6" t="n">
        <v>0.32</v>
      </c>
      <c r="J6" s="6" t="n">
        <v>3.9</v>
      </c>
      <c r="K6" s="6" t="n">
        <v>1.75</v>
      </c>
      <c r="L6" s="6" t="n">
        <v>2</v>
      </c>
      <c r="M6" s="6"/>
      <c r="N6" s="6"/>
      <c r="O6" s="6"/>
      <c r="P6" s="5" t="str">
        <f aca="false">IF(C6=1,E6*(1+COUNTIFS(A:A,A6,C:C,3)),"")</f>
        <v/>
      </c>
      <c r="Q6" s="5" t="n">
        <f aca="false">20*J6</f>
        <v>78</v>
      </c>
    </row>
    <row r="7" customFormat="false" ht="15" hidden="false" customHeight="false" outlineLevel="0" collapsed="false">
      <c r="A7" s="7" t="s">
        <v>36</v>
      </c>
      <c r="B7" s="7" t="s">
        <v>37</v>
      </c>
      <c r="C7" s="7" t="n">
        <v>1</v>
      </c>
      <c r="D7" s="8" t="n">
        <v>1</v>
      </c>
      <c r="E7" s="8" t="n">
        <v>4500</v>
      </c>
      <c r="F7" s="8" t="n">
        <v>22</v>
      </c>
      <c r="G7" s="8" t="n">
        <v>8</v>
      </c>
      <c r="H7" s="8" t="n">
        <v>1</v>
      </c>
      <c r="I7" s="8" t="n">
        <v>0.28</v>
      </c>
      <c r="J7" s="8" t="n">
        <v>3</v>
      </c>
      <c r="K7" s="8" t="n">
        <v>1.5</v>
      </c>
      <c r="L7" s="8" t="n">
        <v>3</v>
      </c>
      <c r="M7" s="8"/>
      <c r="N7" s="8" t="n">
        <v>24</v>
      </c>
      <c r="O7" s="8" t="n">
        <v>64</v>
      </c>
      <c r="P7" s="7" t="n">
        <f aca="false">IF(C7=1,E7*(1+COUNTIFS(A:A,A7,C:C,3)),"")</f>
        <v>9000</v>
      </c>
      <c r="Q7" s="7" t="n">
        <f aca="false">20*J7</f>
        <v>60</v>
      </c>
    </row>
    <row r="8" customFormat="false" ht="15" hidden="false" customHeight="false" outlineLevel="0" collapsed="false">
      <c r="A8" s="5" t="s">
        <v>36</v>
      </c>
      <c r="B8" s="5" t="s">
        <v>37</v>
      </c>
      <c r="C8" s="5" t="n">
        <v>2</v>
      </c>
      <c r="D8" s="6" t="n">
        <v>0.5</v>
      </c>
      <c r="E8" s="6" t="n">
        <v>4500</v>
      </c>
      <c r="F8" s="6" t="n">
        <v>22</v>
      </c>
      <c r="G8" s="6" t="n">
        <v>8</v>
      </c>
      <c r="H8" s="6" t="n">
        <v>1</v>
      </c>
      <c r="I8" s="6" t="n">
        <v>0.32</v>
      </c>
      <c r="J8" s="6" t="n">
        <v>3.9</v>
      </c>
      <c r="K8" s="6" t="n">
        <v>1.75</v>
      </c>
      <c r="L8" s="6" t="n">
        <v>2</v>
      </c>
      <c r="M8" s="6"/>
      <c r="N8" s="6"/>
      <c r="O8" s="6"/>
      <c r="P8" s="5" t="str">
        <f aca="false">IF(C8=1,E8*(1+COUNTIFS(A:A,A8,C:C,3)),"")</f>
        <v/>
      </c>
      <c r="Q8" s="5" t="n">
        <f aca="false">20*J8</f>
        <v>78</v>
      </c>
    </row>
    <row r="9" customFormat="false" ht="15" hidden="false" customHeight="false" outlineLevel="0" collapsed="false">
      <c r="A9" s="7" t="s">
        <v>36</v>
      </c>
      <c r="B9" s="7" t="s">
        <v>37</v>
      </c>
      <c r="C9" s="7" t="n">
        <v>3</v>
      </c>
      <c r="D9" s="8" t="n">
        <v>0</v>
      </c>
      <c r="E9" s="8" t="n">
        <v>4500</v>
      </c>
      <c r="F9" s="8" t="n">
        <v>24</v>
      </c>
      <c r="G9" s="8" t="n">
        <v>10</v>
      </c>
      <c r="H9" s="8" t="n">
        <v>1</v>
      </c>
      <c r="I9" s="8" t="n">
        <v>0.36</v>
      </c>
      <c r="J9" s="8" t="n">
        <v>4.8</v>
      </c>
      <c r="K9" s="8" t="n">
        <v>2</v>
      </c>
      <c r="L9" s="8" t="n">
        <v>1.5</v>
      </c>
      <c r="M9" s="8" t="n">
        <v>1</v>
      </c>
      <c r="N9" s="8"/>
      <c r="O9" s="8"/>
      <c r="P9" s="7" t="str">
        <f aca="false">IF(C9=1,E9*(1+COUNTIFS(A:A,A9,C:C,3)),"")</f>
        <v/>
      </c>
      <c r="Q9" s="7" t="n">
        <f aca="false">20*J9</f>
        <v>96</v>
      </c>
    </row>
    <row r="10" customFormat="false" ht="15" hidden="false" customHeight="false" outlineLevel="0" collapsed="false">
      <c r="A10" s="5" t="s">
        <v>38</v>
      </c>
      <c r="B10" s="5" t="s">
        <v>39</v>
      </c>
      <c r="C10" s="5" t="n">
        <v>1</v>
      </c>
      <c r="D10" s="6" t="n">
        <v>1</v>
      </c>
      <c r="E10" s="6" t="n">
        <v>6000</v>
      </c>
      <c r="F10" s="6" t="n">
        <v>22</v>
      </c>
      <c r="G10" s="6" t="n">
        <v>8</v>
      </c>
      <c r="H10" s="6" t="n">
        <v>1</v>
      </c>
      <c r="I10" s="6" t="n">
        <v>0.28</v>
      </c>
      <c r="J10" s="6" t="n">
        <v>3</v>
      </c>
      <c r="K10" s="6" t="n">
        <v>1.5</v>
      </c>
      <c r="L10" s="6" t="n">
        <v>3</v>
      </c>
      <c r="M10" s="6"/>
      <c r="N10" s="6" t="n">
        <v>24</v>
      </c>
      <c r="O10" s="6" t="n">
        <v>64</v>
      </c>
      <c r="P10" s="5" t="n">
        <f aca="false">IF(C10=1,E10*(1+COUNTIFS(A:A,A10,C:C,3)),"")</f>
        <v>12000</v>
      </c>
      <c r="Q10" s="5" t="n">
        <f aca="false">20*J10</f>
        <v>60</v>
      </c>
    </row>
    <row r="11" customFormat="false" ht="15" hidden="false" customHeight="false" outlineLevel="0" collapsed="false">
      <c r="A11" s="7" t="s">
        <v>38</v>
      </c>
      <c r="B11" s="7" t="s">
        <v>39</v>
      </c>
      <c r="C11" s="7" t="n">
        <v>2</v>
      </c>
      <c r="D11" s="8" t="n">
        <v>0.5</v>
      </c>
      <c r="E11" s="8" t="n">
        <v>6000</v>
      </c>
      <c r="F11" s="8" t="n">
        <v>22</v>
      </c>
      <c r="G11" s="8" t="n">
        <v>8</v>
      </c>
      <c r="H11" s="8" t="n">
        <v>1</v>
      </c>
      <c r="I11" s="8" t="n">
        <v>0.32</v>
      </c>
      <c r="J11" s="8" t="n">
        <v>3.9</v>
      </c>
      <c r="K11" s="8" t="n">
        <v>1.75</v>
      </c>
      <c r="L11" s="8" t="n">
        <v>2</v>
      </c>
      <c r="M11" s="8"/>
      <c r="N11" s="8"/>
      <c r="O11" s="8"/>
      <c r="P11" s="7" t="str">
        <f aca="false">IF(C11=1,E11*(1+COUNTIFS(A:A,A11,C:C,3)),"")</f>
        <v/>
      </c>
      <c r="Q11" s="7" t="n">
        <f aca="false">20*J11</f>
        <v>78</v>
      </c>
    </row>
    <row r="12" customFormat="false" ht="15" hidden="false" customHeight="false" outlineLevel="0" collapsed="false">
      <c r="A12" s="5" t="s">
        <v>38</v>
      </c>
      <c r="B12" s="5" t="s">
        <v>39</v>
      </c>
      <c r="C12" s="5" t="n">
        <v>3</v>
      </c>
      <c r="D12" s="6" t="n">
        <v>0</v>
      </c>
      <c r="E12" s="6" t="n">
        <v>6000</v>
      </c>
      <c r="F12" s="6" t="n">
        <v>24</v>
      </c>
      <c r="G12" s="6" t="n">
        <v>10</v>
      </c>
      <c r="H12" s="6" t="n">
        <v>1</v>
      </c>
      <c r="I12" s="6" t="n">
        <v>0.36</v>
      </c>
      <c r="J12" s="6" t="n">
        <v>4.8</v>
      </c>
      <c r="K12" s="6" t="n">
        <v>2</v>
      </c>
      <c r="L12" s="6" t="n">
        <v>1.5</v>
      </c>
      <c r="M12" s="6" t="n">
        <v>1</v>
      </c>
      <c r="N12" s="6"/>
      <c r="O12" s="6"/>
      <c r="P12" s="5" t="str">
        <f aca="false">IF(C12=1,E12*(1+COUNTIFS(A:A,A12,C:C,3)),"")</f>
        <v/>
      </c>
      <c r="Q12" s="5" t="n">
        <f aca="false">20*J12</f>
        <v>96</v>
      </c>
    </row>
    <row r="13" customFormat="false" ht="15" hidden="false" customHeight="false" outlineLevel="0" collapsed="false">
      <c r="A13" s="7" t="s">
        <v>40</v>
      </c>
      <c r="B13" s="7" t="s">
        <v>41</v>
      </c>
      <c r="C13" s="7" t="n">
        <v>1</v>
      </c>
      <c r="D13" s="8" t="n">
        <v>1</v>
      </c>
      <c r="E13" s="8" t="n">
        <v>5000</v>
      </c>
      <c r="F13" s="8" t="n">
        <v>22</v>
      </c>
      <c r="G13" s="8" t="n">
        <v>8</v>
      </c>
      <c r="H13" s="8" t="n">
        <v>1</v>
      </c>
      <c r="I13" s="8" t="n">
        <v>0.28</v>
      </c>
      <c r="J13" s="8" t="n">
        <v>3</v>
      </c>
      <c r="K13" s="8" t="n">
        <v>1.5</v>
      </c>
      <c r="L13" s="8" t="n">
        <v>3</v>
      </c>
      <c r="M13" s="8"/>
      <c r="N13" s="8" t="n">
        <v>24</v>
      </c>
      <c r="O13" s="8" t="n">
        <v>64</v>
      </c>
      <c r="P13" s="7" t="n">
        <f aca="false">IF(C13=1,E13*(1+COUNTIFS(A:A,A13,C:C,3)),"")</f>
        <v>5000</v>
      </c>
      <c r="Q13" s="7" t="n">
        <f aca="false">20*J13</f>
        <v>60</v>
      </c>
    </row>
    <row r="14" customFormat="false" ht="15" hidden="false" customHeight="false" outlineLevel="0" collapsed="false">
      <c r="A14" s="5" t="s">
        <v>40</v>
      </c>
      <c r="B14" s="5" t="s">
        <v>41</v>
      </c>
      <c r="C14" s="5" t="n">
        <v>2</v>
      </c>
      <c r="D14" s="6" t="n">
        <v>0.5</v>
      </c>
      <c r="E14" s="6" t="n">
        <v>5000</v>
      </c>
      <c r="F14" s="6" t="n">
        <v>22</v>
      </c>
      <c r="G14" s="6" t="n">
        <v>8</v>
      </c>
      <c r="H14" s="6" t="n">
        <v>1</v>
      </c>
      <c r="I14" s="6" t="n">
        <v>0.32</v>
      </c>
      <c r="J14" s="6" t="n">
        <v>3.9</v>
      </c>
      <c r="K14" s="6" t="n">
        <v>1.75</v>
      </c>
      <c r="L14" s="6" t="n">
        <v>2</v>
      </c>
      <c r="M14" s="6"/>
      <c r="N14" s="6"/>
      <c r="O14" s="6"/>
      <c r="P14" s="5" t="str">
        <f aca="false">IF(C14=1,E14*(1+COUNTIFS(A:A,A14,C:C,3)),"")</f>
        <v/>
      </c>
      <c r="Q14" s="5" t="n">
        <f aca="false">20*J14</f>
        <v>78</v>
      </c>
    </row>
    <row r="15" customFormat="false" ht="15" hidden="false" customHeight="false" outlineLevel="0" collapsed="false">
      <c r="A15" s="7" t="s">
        <v>42</v>
      </c>
      <c r="B15" s="7" t="s">
        <v>43</v>
      </c>
      <c r="C15" s="7" t="n">
        <v>1</v>
      </c>
      <c r="D15" s="8" t="n">
        <v>1</v>
      </c>
      <c r="E15" s="8" t="n">
        <v>4000</v>
      </c>
      <c r="F15" s="8" t="n">
        <v>22</v>
      </c>
      <c r="G15" s="8" t="n">
        <v>8</v>
      </c>
      <c r="H15" s="8" t="n">
        <v>1</v>
      </c>
      <c r="I15" s="8" t="n">
        <v>0.28</v>
      </c>
      <c r="J15" s="8" t="n">
        <v>3</v>
      </c>
      <c r="K15" s="8" t="n">
        <v>1.5</v>
      </c>
      <c r="L15" s="8" t="n">
        <v>3</v>
      </c>
      <c r="M15" s="8"/>
      <c r="N15" s="8" t="n">
        <v>24</v>
      </c>
      <c r="O15" s="8" t="n">
        <v>64</v>
      </c>
      <c r="P15" s="7" t="n">
        <f aca="false">IF(C15=1,E15*(1+COUNTIFS(A:A,A15,C:C,3)),"")</f>
        <v>8000</v>
      </c>
      <c r="Q15" s="7" t="n">
        <f aca="false">20*J15</f>
        <v>60</v>
      </c>
    </row>
    <row r="16" customFormat="false" ht="15" hidden="false" customHeight="false" outlineLevel="0" collapsed="false">
      <c r="A16" s="5" t="s">
        <v>42</v>
      </c>
      <c r="B16" s="5" t="s">
        <v>43</v>
      </c>
      <c r="C16" s="5" t="n">
        <v>2</v>
      </c>
      <c r="D16" s="6" t="n">
        <v>0.5</v>
      </c>
      <c r="E16" s="6" t="n">
        <v>4000</v>
      </c>
      <c r="F16" s="6" t="n">
        <v>22</v>
      </c>
      <c r="G16" s="6" t="n">
        <v>8</v>
      </c>
      <c r="H16" s="6" t="n">
        <v>1</v>
      </c>
      <c r="I16" s="6" t="n">
        <v>0.32</v>
      </c>
      <c r="J16" s="6" t="n">
        <v>3.9</v>
      </c>
      <c r="K16" s="6" t="n">
        <v>1.75</v>
      </c>
      <c r="L16" s="6" t="n">
        <v>2</v>
      </c>
      <c r="M16" s="6"/>
      <c r="N16" s="6"/>
      <c r="O16" s="6"/>
      <c r="P16" s="5" t="str">
        <f aca="false">IF(C16=1,E16*(1+COUNTIFS(A:A,A16,C:C,3)),"")</f>
        <v/>
      </c>
      <c r="Q16" s="5" t="n">
        <f aca="false">20*J16</f>
        <v>78</v>
      </c>
    </row>
    <row r="17" customFormat="false" ht="15" hidden="false" customHeight="false" outlineLevel="0" collapsed="false">
      <c r="A17" s="7" t="s">
        <v>42</v>
      </c>
      <c r="B17" s="7" t="s">
        <v>43</v>
      </c>
      <c r="C17" s="7" t="n">
        <v>3</v>
      </c>
      <c r="D17" s="8" t="n">
        <v>0</v>
      </c>
      <c r="E17" s="8" t="n">
        <v>4000</v>
      </c>
      <c r="F17" s="8" t="n">
        <v>24</v>
      </c>
      <c r="G17" s="8" t="n">
        <v>10</v>
      </c>
      <c r="H17" s="8" t="n">
        <v>1</v>
      </c>
      <c r="I17" s="8" t="n">
        <v>0.36</v>
      </c>
      <c r="J17" s="8" t="n">
        <v>4.8</v>
      </c>
      <c r="K17" s="8" t="n">
        <v>2</v>
      </c>
      <c r="L17" s="8" t="n">
        <v>1.5</v>
      </c>
      <c r="M17" s="8" t="n">
        <v>1</v>
      </c>
      <c r="N17" s="8"/>
      <c r="O17" s="8"/>
      <c r="P17" s="7" t="str">
        <f aca="false">IF(C17=1,E17*(1+COUNTIFS(A:A,A17,C:C,3)),"")</f>
        <v/>
      </c>
      <c r="Q17" s="7" t="n">
        <f aca="false">20*J17</f>
        <v>96</v>
      </c>
    </row>
    <row r="18" customFormat="false" ht="15" hidden="false" customHeight="false" outlineLevel="0" collapsed="false">
      <c r="A18" s="5" t="s">
        <v>44</v>
      </c>
      <c r="B18" s="5" t="s">
        <v>45</v>
      </c>
      <c r="C18" s="5" t="n">
        <v>1</v>
      </c>
      <c r="D18" s="6" t="n">
        <v>1</v>
      </c>
      <c r="E18" s="6" t="n">
        <v>5500</v>
      </c>
      <c r="F18" s="6" t="n">
        <v>22</v>
      </c>
      <c r="G18" s="6" t="n">
        <v>8</v>
      </c>
      <c r="H18" s="6" t="n">
        <v>1</v>
      </c>
      <c r="I18" s="6" t="n">
        <v>0.28</v>
      </c>
      <c r="J18" s="6" t="n">
        <v>3</v>
      </c>
      <c r="K18" s="6" t="n">
        <v>1.5</v>
      </c>
      <c r="L18" s="6" t="n">
        <v>3</v>
      </c>
      <c r="M18" s="6"/>
      <c r="N18" s="6" t="n">
        <v>24</v>
      </c>
      <c r="O18" s="6" t="n">
        <v>64</v>
      </c>
      <c r="P18" s="5" t="n">
        <f aca="false">IF(C18=1,E18*(1+COUNTIFS(A:A,A18,C:C,3)),"")</f>
        <v>11000</v>
      </c>
      <c r="Q18" s="5" t="n">
        <f aca="false">20*J18</f>
        <v>60</v>
      </c>
    </row>
    <row r="19" customFormat="false" ht="15" hidden="false" customHeight="false" outlineLevel="0" collapsed="false">
      <c r="A19" s="7" t="s">
        <v>44</v>
      </c>
      <c r="B19" s="7" t="s">
        <v>45</v>
      </c>
      <c r="C19" s="7" t="n">
        <v>2</v>
      </c>
      <c r="D19" s="8" t="n">
        <v>0.5</v>
      </c>
      <c r="E19" s="8" t="n">
        <v>5500</v>
      </c>
      <c r="F19" s="8" t="n">
        <v>22</v>
      </c>
      <c r="G19" s="8" t="n">
        <v>8</v>
      </c>
      <c r="H19" s="8" t="n">
        <v>1</v>
      </c>
      <c r="I19" s="8" t="n">
        <v>0.32</v>
      </c>
      <c r="J19" s="8" t="n">
        <v>3.9</v>
      </c>
      <c r="K19" s="8" t="n">
        <v>1.75</v>
      </c>
      <c r="L19" s="8" t="n">
        <v>2</v>
      </c>
      <c r="M19" s="8"/>
      <c r="N19" s="8"/>
      <c r="O19" s="8"/>
      <c r="P19" s="7" t="str">
        <f aca="false">IF(C19=1,E19*(1+COUNTIFS(A:A,A19,C:C,3)),"")</f>
        <v/>
      </c>
      <c r="Q19" s="7" t="n">
        <f aca="false">20*J19</f>
        <v>78</v>
      </c>
    </row>
    <row r="20" customFormat="false" ht="15" hidden="false" customHeight="false" outlineLevel="0" collapsed="false">
      <c r="A20" s="5" t="s">
        <v>44</v>
      </c>
      <c r="B20" s="5" t="s">
        <v>45</v>
      </c>
      <c r="C20" s="5" t="n">
        <v>3</v>
      </c>
      <c r="D20" s="6" t="n">
        <v>0</v>
      </c>
      <c r="E20" s="6" t="n">
        <v>5500</v>
      </c>
      <c r="F20" s="6" t="n">
        <v>24</v>
      </c>
      <c r="G20" s="6" t="n">
        <v>10</v>
      </c>
      <c r="H20" s="6" t="n">
        <v>1</v>
      </c>
      <c r="I20" s="6" t="n">
        <v>0.36</v>
      </c>
      <c r="J20" s="6" t="n">
        <v>4.8</v>
      </c>
      <c r="K20" s="6" t="n">
        <v>2</v>
      </c>
      <c r="L20" s="6" t="n">
        <v>1.5</v>
      </c>
      <c r="M20" s="6" t="n">
        <v>1</v>
      </c>
      <c r="N20" s="6"/>
      <c r="O20" s="6"/>
      <c r="P20" s="5" t="str">
        <f aca="false">IF(C20=1,E20*(1+COUNTIFS(A:A,A20,C:C,3)),"")</f>
        <v/>
      </c>
      <c r="Q20" s="5" t="n">
        <f aca="false">20*J20</f>
        <v>96</v>
      </c>
    </row>
    <row r="21" customFormat="false" ht="15" hidden="false" customHeight="false" outlineLevel="0" collapsed="false">
      <c r="A21" s="7" t="s">
        <v>46</v>
      </c>
      <c r="B21" s="7" t="s">
        <v>47</v>
      </c>
      <c r="C21" s="7" t="n">
        <v>1</v>
      </c>
      <c r="D21" s="8" t="n">
        <v>1</v>
      </c>
      <c r="E21" s="8" t="n">
        <v>6000</v>
      </c>
      <c r="F21" s="8" t="n">
        <v>22</v>
      </c>
      <c r="G21" s="8" t="n">
        <v>8</v>
      </c>
      <c r="H21" s="8" t="n">
        <v>1</v>
      </c>
      <c r="I21" s="8" t="n">
        <v>0.28</v>
      </c>
      <c r="J21" s="8" t="n">
        <v>3</v>
      </c>
      <c r="K21" s="8" t="n">
        <v>1.5</v>
      </c>
      <c r="L21" s="8" t="n">
        <v>3</v>
      </c>
      <c r="M21" s="8"/>
      <c r="N21" s="8" t="n">
        <v>24</v>
      </c>
      <c r="O21" s="8" t="n">
        <v>64</v>
      </c>
      <c r="P21" s="7" t="n">
        <f aca="false">IF(C21=1,E21*(1+COUNTIFS(A:A,A21,C:C,3)),"")</f>
        <v>6000</v>
      </c>
      <c r="Q21" s="7" t="n">
        <f aca="false">20*J21</f>
        <v>60</v>
      </c>
    </row>
    <row r="22" customFormat="false" ht="15" hidden="false" customHeight="false" outlineLevel="0" collapsed="false">
      <c r="A22" s="5" t="s">
        <v>46</v>
      </c>
      <c r="B22" s="5" t="s">
        <v>47</v>
      </c>
      <c r="C22" s="5" t="n">
        <v>2</v>
      </c>
      <c r="D22" s="6" t="n">
        <v>0.5</v>
      </c>
      <c r="E22" s="6" t="n">
        <v>6000</v>
      </c>
      <c r="F22" s="6" t="n">
        <v>22</v>
      </c>
      <c r="G22" s="6" t="n">
        <v>8</v>
      </c>
      <c r="H22" s="6" t="n">
        <v>1</v>
      </c>
      <c r="I22" s="6" t="n">
        <v>0.32</v>
      </c>
      <c r="J22" s="6" t="n">
        <v>3.9</v>
      </c>
      <c r="K22" s="6" t="n">
        <v>1.75</v>
      </c>
      <c r="L22" s="6" t="n">
        <v>2</v>
      </c>
      <c r="M22" s="6"/>
      <c r="N22" s="6"/>
      <c r="O22" s="6"/>
      <c r="P22" s="5" t="str">
        <f aca="false">IF(C22=1,E22*(1+COUNTIFS(A:A,A22,C:C,3)),"")</f>
        <v/>
      </c>
      <c r="Q22" s="5" t="n">
        <f aca="false">20*J22</f>
        <v>78</v>
      </c>
    </row>
    <row r="23" customFormat="false" ht="15" hidden="false" customHeight="false" outlineLevel="0" collapsed="false">
      <c r="A23" s="7" t="s">
        <v>48</v>
      </c>
      <c r="B23" s="7" t="s">
        <v>49</v>
      </c>
      <c r="C23" s="7" t="n">
        <v>1</v>
      </c>
      <c r="D23" s="8" t="n">
        <v>1</v>
      </c>
      <c r="E23" s="8" t="n">
        <v>3500</v>
      </c>
      <c r="F23" s="8" t="n">
        <v>22</v>
      </c>
      <c r="G23" s="8" t="n">
        <v>8</v>
      </c>
      <c r="H23" s="8" t="n">
        <v>1</v>
      </c>
      <c r="I23" s="8" t="n">
        <v>0.28</v>
      </c>
      <c r="J23" s="8" t="n">
        <v>3</v>
      </c>
      <c r="K23" s="8" t="n">
        <v>1.5</v>
      </c>
      <c r="L23" s="8" t="n">
        <v>3</v>
      </c>
      <c r="M23" s="8"/>
      <c r="N23" s="8" t="n">
        <v>24</v>
      </c>
      <c r="O23" s="8" t="n">
        <v>64</v>
      </c>
      <c r="P23" s="7" t="n">
        <f aca="false">IF(C23=1,E23*(1+COUNTIFS(A:A,A23,C:C,3)),"")</f>
        <v>3500</v>
      </c>
      <c r="Q23" s="7" t="n">
        <f aca="false">20*J23</f>
        <v>60</v>
      </c>
    </row>
    <row r="24" customFormat="false" ht="15" hidden="false" customHeight="false" outlineLevel="0" collapsed="false">
      <c r="A24" s="5" t="s">
        <v>48</v>
      </c>
      <c r="B24" s="5" t="s">
        <v>49</v>
      </c>
      <c r="C24" s="5" t="n">
        <v>2</v>
      </c>
      <c r="D24" s="6" t="n">
        <v>0.5</v>
      </c>
      <c r="E24" s="6" t="n">
        <v>3500</v>
      </c>
      <c r="F24" s="6" t="n">
        <v>22</v>
      </c>
      <c r="G24" s="6" t="n">
        <v>8</v>
      </c>
      <c r="H24" s="6" t="n">
        <v>1</v>
      </c>
      <c r="I24" s="6" t="n">
        <v>0.32</v>
      </c>
      <c r="J24" s="6" t="n">
        <v>3.9</v>
      </c>
      <c r="K24" s="6" t="n">
        <v>1.75</v>
      </c>
      <c r="L24" s="6" t="n">
        <v>2</v>
      </c>
      <c r="M24" s="6"/>
      <c r="N24" s="6"/>
      <c r="O24" s="6"/>
      <c r="P24" s="5" t="str">
        <f aca="false">IF(C24=1,E24*(1+COUNTIFS(A:A,A24,C:C,3)),"")</f>
        <v/>
      </c>
      <c r="Q24" s="5" t="n">
        <f aca="false">20*J24</f>
        <v>78</v>
      </c>
    </row>
    <row r="25" customFormat="false" ht="15" hidden="false" customHeight="false" outlineLevel="0" collapsed="false">
      <c r="A25" s="7" t="s">
        <v>50</v>
      </c>
      <c r="B25" s="7" t="s">
        <v>51</v>
      </c>
      <c r="C25" s="7" t="n">
        <v>1</v>
      </c>
      <c r="D25" s="8" t="n">
        <v>1</v>
      </c>
      <c r="E25" s="8" t="n">
        <v>3500</v>
      </c>
      <c r="F25" s="8" t="n">
        <v>22</v>
      </c>
      <c r="G25" s="8" t="n">
        <v>8</v>
      </c>
      <c r="H25" s="8" t="n">
        <v>1</v>
      </c>
      <c r="I25" s="8" t="n">
        <v>0.28</v>
      </c>
      <c r="J25" s="8" t="n">
        <v>3</v>
      </c>
      <c r="K25" s="8" t="n">
        <v>1.5</v>
      </c>
      <c r="L25" s="8" t="n">
        <v>3</v>
      </c>
      <c r="M25" s="8"/>
      <c r="N25" s="8" t="n">
        <v>24</v>
      </c>
      <c r="O25" s="8" t="n">
        <v>64</v>
      </c>
      <c r="P25" s="7" t="n">
        <f aca="false">IF(C25=1,E25*(1+COUNTIFS(A:A,A25,C:C,3)),"")</f>
        <v>3500</v>
      </c>
      <c r="Q25" s="7" t="n">
        <f aca="false">20*J25</f>
        <v>60</v>
      </c>
    </row>
    <row r="26" customFormat="false" ht="15" hidden="false" customHeight="false" outlineLevel="0" collapsed="false">
      <c r="A26" s="5" t="s">
        <v>50</v>
      </c>
      <c r="B26" s="5" t="s">
        <v>51</v>
      </c>
      <c r="C26" s="5" t="n">
        <v>2</v>
      </c>
      <c r="D26" s="6" t="n">
        <v>0.5</v>
      </c>
      <c r="E26" s="6" t="n">
        <v>3500</v>
      </c>
      <c r="F26" s="6" t="n">
        <v>22</v>
      </c>
      <c r="G26" s="6" t="n">
        <v>8</v>
      </c>
      <c r="H26" s="6" t="n">
        <v>1</v>
      </c>
      <c r="I26" s="6" t="n">
        <v>0.32</v>
      </c>
      <c r="J26" s="6" t="n">
        <v>3.9</v>
      </c>
      <c r="K26" s="6" t="n">
        <v>1.75</v>
      </c>
      <c r="L26" s="6" t="n">
        <v>2</v>
      </c>
      <c r="M26" s="6"/>
      <c r="N26" s="6"/>
      <c r="O26" s="6"/>
      <c r="P26" s="5" t="str">
        <f aca="false">IF(C26=1,E26*(1+COUNTIFS(A:A,A26,C:C,3)),"")</f>
        <v/>
      </c>
      <c r="Q26" s="5" t="n">
        <f aca="false">20*J26</f>
        <v>78</v>
      </c>
    </row>
    <row r="27" customFormat="false" ht="15" hidden="false" customHeight="false" outlineLevel="0" collapsed="false">
      <c r="A27" s="7" t="s">
        <v>52</v>
      </c>
      <c r="B27" s="7" t="s">
        <v>53</v>
      </c>
      <c r="C27" s="7" t="n">
        <v>1</v>
      </c>
      <c r="D27" s="8" t="n">
        <v>1</v>
      </c>
      <c r="E27" s="8" t="n">
        <v>3000</v>
      </c>
      <c r="F27" s="8" t="n">
        <v>22</v>
      </c>
      <c r="G27" s="8" t="n">
        <v>8</v>
      </c>
      <c r="H27" s="8" t="n">
        <v>1</v>
      </c>
      <c r="I27" s="8" t="n">
        <v>0.28</v>
      </c>
      <c r="J27" s="8" t="n">
        <v>3</v>
      </c>
      <c r="K27" s="8" t="n">
        <v>1.5</v>
      </c>
      <c r="L27" s="8" t="n">
        <v>3</v>
      </c>
      <c r="M27" s="8"/>
      <c r="N27" s="8" t="n">
        <v>24</v>
      </c>
      <c r="O27" s="8" t="n">
        <v>64</v>
      </c>
      <c r="P27" s="7" t="n">
        <f aca="false">IF(C27=1,E27*(1+COUNTIFS(A:A,A27,C:C,3)),"")</f>
        <v>3000</v>
      </c>
      <c r="Q27" s="7" t="n">
        <f aca="false">20*J27</f>
        <v>60</v>
      </c>
    </row>
    <row r="28" customFormat="false" ht="15" hidden="false" customHeight="false" outlineLevel="0" collapsed="false">
      <c r="A28" s="5" t="s">
        <v>52</v>
      </c>
      <c r="B28" s="5" t="s">
        <v>53</v>
      </c>
      <c r="C28" s="5" t="n">
        <v>2</v>
      </c>
      <c r="D28" s="6" t="n">
        <v>0.5</v>
      </c>
      <c r="E28" s="6" t="n">
        <v>3000</v>
      </c>
      <c r="F28" s="6" t="n">
        <v>22</v>
      </c>
      <c r="G28" s="6" t="n">
        <v>8</v>
      </c>
      <c r="H28" s="6" t="n">
        <v>1</v>
      </c>
      <c r="I28" s="6" t="n">
        <v>0.32</v>
      </c>
      <c r="J28" s="6" t="n">
        <v>3.9</v>
      </c>
      <c r="K28" s="6" t="n">
        <v>1.75</v>
      </c>
      <c r="L28" s="6" t="n">
        <v>2</v>
      </c>
      <c r="M28" s="6"/>
      <c r="N28" s="6"/>
      <c r="O28" s="6"/>
      <c r="P28" s="5" t="str">
        <f aca="false">IF(C28=1,E28*(1+COUNTIFS(A:A,A28,C:C,3)),"")</f>
        <v/>
      </c>
      <c r="Q28" s="5" t="n">
        <f aca="false">20*J28</f>
        <v>78</v>
      </c>
    </row>
    <row r="29" customFormat="false" ht="15" hidden="false" customHeight="false" outlineLevel="0" collapsed="false">
      <c r="A29" s="7" t="s">
        <v>54</v>
      </c>
      <c r="B29" s="7" t="s">
        <v>55</v>
      </c>
      <c r="C29" s="7" t="n">
        <v>1</v>
      </c>
      <c r="D29" s="8" t="n">
        <v>1</v>
      </c>
      <c r="E29" s="8" t="n">
        <v>8000</v>
      </c>
      <c r="F29" s="8" t="n">
        <v>22</v>
      </c>
      <c r="G29" s="8" t="n">
        <v>8</v>
      </c>
      <c r="H29" s="8" t="n">
        <v>1</v>
      </c>
      <c r="I29" s="8" t="n">
        <v>0.28</v>
      </c>
      <c r="J29" s="8" t="n">
        <v>3</v>
      </c>
      <c r="K29" s="8" t="n">
        <v>1.5</v>
      </c>
      <c r="L29" s="8" t="n">
        <v>3</v>
      </c>
      <c r="M29" s="8"/>
      <c r="N29" s="8" t="n">
        <v>24</v>
      </c>
      <c r="O29" s="8" t="n">
        <v>64</v>
      </c>
      <c r="P29" s="7" t="n">
        <f aca="false">IF(C29=1,E29*(1+COUNTIFS(A:A,A29,C:C,3)),"")</f>
        <v>8000</v>
      </c>
      <c r="Q29" s="7" t="n">
        <f aca="false">20*J29</f>
        <v>60</v>
      </c>
    </row>
    <row r="30" customFormat="false" ht="15" hidden="false" customHeight="false" outlineLevel="0" collapsed="false">
      <c r="A30" s="5" t="s">
        <v>54</v>
      </c>
      <c r="B30" s="5" t="s">
        <v>55</v>
      </c>
      <c r="C30" s="5" t="n">
        <v>2</v>
      </c>
      <c r="D30" s="6" t="n">
        <v>0.5</v>
      </c>
      <c r="E30" s="6" t="n">
        <v>8000</v>
      </c>
      <c r="F30" s="6" t="n">
        <v>22</v>
      </c>
      <c r="G30" s="6" t="n">
        <v>8</v>
      </c>
      <c r="H30" s="6" t="n">
        <v>1</v>
      </c>
      <c r="I30" s="6" t="n">
        <v>0.32</v>
      </c>
      <c r="J30" s="6" t="n">
        <v>3.9</v>
      </c>
      <c r="K30" s="6" t="n">
        <v>1.75</v>
      </c>
      <c r="L30" s="6" t="n">
        <v>2</v>
      </c>
      <c r="M30" s="6"/>
      <c r="N30" s="6"/>
      <c r="O30" s="6"/>
      <c r="P30" s="5" t="str">
        <f aca="false">IF(C30=1,E30*(1+COUNTIFS(A:A,A30,C:C,3)),"")</f>
        <v/>
      </c>
      <c r="Q30" s="5" t="n">
        <f aca="false">20*J30</f>
        <v>78</v>
      </c>
    </row>
    <row r="32" customFormat="false" ht="15" hidden="false" customHeight="false" outlineLevel="0" collapsed="false">
      <c r="A32" s="9" t="s">
        <v>56</v>
      </c>
    </row>
  </sheetData>
  <autoFilter ref="A1:Q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1" min="10" style="0" width="10"/>
    <col collapsed="false" customWidth="true" hidden="false" outlineLevel="0" max="12" min="12" style="0" width="28"/>
  </cols>
  <sheetData>
    <row r="1" customFormat="false" ht="33.75" hidden="false" customHeight="true" outlineLevel="0" collapsed="false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</row>
    <row r="2" customFormat="false" ht="15" hidden="false" customHeight="false" outlineLevel="0" collapsed="false">
      <c r="A2" s="5" t="s">
        <v>32</v>
      </c>
      <c r="B2" s="5" t="s">
        <v>69</v>
      </c>
      <c r="C2" s="5" t="s">
        <v>70</v>
      </c>
      <c r="D2" s="6" t="n">
        <v>1</v>
      </c>
      <c r="E2" s="6" t="n">
        <v>0</v>
      </c>
      <c r="F2" s="6" t="n">
        <v>24</v>
      </c>
      <c r="G2" s="6" t="n">
        <v>0</v>
      </c>
      <c r="H2" s="6" t="n">
        <v>0</v>
      </c>
      <c r="I2" s="6"/>
      <c r="J2" s="6"/>
      <c r="K2" s="6" t="n">
        <v>1</v>
      </c>
      <c r="L2" s="6" t="s">
        <v>69</v>
      </c>
    </row>
    <row r="3" customFormat="false" ht="15" hidden="false" customHeight="false" outlineLevel="0" collapsed="false">
      <c r="A3" s="7" t="s">
        <v>32</v>
      </c>
      <c r="B3" s="7" t="s">
        <v>71</v>
      </c>
      <c r="C3" s="7" t="s">
        <v>72</v>
      </c>
      <c r="D3" s="8" t="n">
        <v>1</v>
      </c>
      <c r="E3" s="8" t="n">
        <v>30</v>
      </c>
      <c r="F3" s="8" t="n">
        <v>26</v>
      </c>
      <c r="G3" s="8" t="n">
        <v>4</v>
      </c>
      <c r="H3" s="8" t="n">
        <v>6</v>
      </c>
      <c r="I3" s="8" t="s">
        <v>73</v>
      </c>
      <c r="J3" s="8" t="n">
        <v>5</v>
      </c>
      <c r="K3" s="8" t="n">
        <v>3</v>
      </c>
      <c r="L3" s="8" t="s">
        <v>71</v>
      </c>
    </row>
    <row r="4" customFormat="false" ht="15" hidden="false" customHeight="false" outlineLevel="0" collapsed="false">
      <c r="A4" s="5" t="s">
        <v>32</v>
      </c>
      <c r="B4" s="5" t="s">
        <v>74</v>
      </c>
      <c r="C4" s="5" t="s">
        <v>75</v>
      </c>
      <c r="D4" s="6" t="n">
        <v>1</v>
      </c>
      <c r="E4" s="6" t="n">
        <v>24</v>
      </c>
      <c r="F4" s="6" t="n">
        <v>12</v>
      </c>
      <c r="G4" s="6" t="n">
        <v>5</v>
      </c>
      <c r="H4" s="6" t="n">
        <v>8</v>
      </c>
      <c r="I4" s="6" t="s">
        <v>73</v>
      </c>
      <c r="J4" s="6" t="n">
        <v>6</v>
      </c>
      <c r="K4" s="6" t="n">
        <v>3</v>
      </c>
      <c r="L4" s="6" t="s">
        <v>74</v>
      </c>
    </row>
    <row r="5" customFormat="false" ht="15" hidden="false" customHeight="false" outlineLevel="0" collapsed="false">
      <c r="A5" s="7" t="s">
        <v>32</v>
      </c>
      <c r="B5" s="7" t="s">
        <v>76</v>
      </c>
      <c r="C5" s="7" t="s">
        <v>77</v>
      </c>
      <c r="D5" s="8" t="n">
        <v>1</v>
      </c>
      <c r="E5" s="8" t="n">
        <v>20</v>
      </c>
      <c r="F5" s="8" t="n">
        <v>24</v>
      </c>
      <c r="G5" s="8" t="n">
        <v>8</v>
      </c>
      <c r="H5" s="8" t="n">
        <v>12</v>
      </c>
      <c r="I5" s="8" t="s">
        <v>73</v>
      </c>
      <c r="J5" s="8" t="n">
        <v>4</v>
      </c>
      <c r="K5" s="8" t="n">
        <v>2</v>
      </c>
      <c r="L5" s="8" t="s">
        <v>76</v>
      </c>
    </row>
    <row r="6" customFormat="false" ht="15" hidden="false" customHeight="false" outlineLevel="0" collapsed="false">
      <c r="A6" s="5" t="s">
        <v>32</v>
      </c>
      <c r="B6" s="5" t="s">
        <v>78</v>
      </c>
      <c r="C6" s="5" t="s">
        <v>79</v>
      </c>
      <c r="D6" s="6" t="n">
        <v>1</v>
      </c>
      <c r="E6" s="6" t="n">
        <v>45</v>
      </c>
      <c r="F6" s="6" t="n">
        <v>30</v>
      </c>
      <c r="G6" s="6" t="n">
        <v>4</v>
      </c>
      <c r="H6" s="6" t="n">
        <v>14</v>
      </c>
      <c r="I6" s="6"/>
      <c r="J6" s="6" t="n">
        <v>0</v>
      </c>
      <c r="K6" s="6" t="n">
        <v>2</v>
      </c>
      <c r="L6" s="6" t="s">
        <v>78</v>
      </c>
    </row>
    <row r="7" customFormat="false" ht="15" hidden="false" customHeight="false" outlineLevel="0" collapsed="false">
      <c r="A7" s="7" t="s">
        <v>32</v>
      </c>
      <c r="B7" s="7" t="s">
        <v>80</v>
      </c>
      <c r="C7" s="7" t="s">
        <v>81</v>
      </c>
      <c r="D7" s="8" t="n">
        <v>1</v>
      </c>
      <c r="E7" s="8" t="n">
        <v>0</v>
      </c>
      <c r="F7" s="8" t="n">
        <v>0</v>
      </c>
      <c r="G7" s="8" t="n">
        <v>0</v>
      </c>
      <c r="H7" s="8" t="n">
        <v>20</v>
      </c>
      <c r="I7" s="8" t="s">
        <v>82</v>
      </c>
      <c r="J7" s="8" t="n">
        <v>8</v>
      </c>
      <c r="K7" s="8" t="n">
        <v>1</v>
      </c>
      <c r="L7" s="8" t="s">
        <v>80</v>
      </c>
    </row>
    <row r="8" customFormat="false" ht="15" hidden="false" customHeight="false" outlineLevel="0" collapsed="false">
      <c r="A8" s="5" t="s">
        <v>32</v>
      </c>
      <c r="B8" s="5" t="s">
        <v>83</v>
      </c>
      <c r="C8" s="5" t="s">
        <v>84</v>
      </c>
      <c r="D8" s="6" t="n">
        <v>2</v>
      </c>
      <c r="E8" s="6" t="n">
        <v>16</v>
      </c>
      <c r="F8" s="6" t="n">
        <v>0</v>
      </c>
      <c r="G8" s="6" t="n">
        <v>18</v>
      </c>
      <c r="H8" s="6" t="n">
        <v>30</v>
      </c>
      <c r="I8" s="6" t="s">
        <v>73</v>
      </c>
      <c r="J8" s="6" t="n">
        <v>8</v>
      </c>
      <c r="K8" s="6" t="n">
        <v>1</v>
      </c>
      <c r="L8" s="6" t="s">
        <v>83</v>
      </c>
    </row>
    <row r="9" customFormat="false" ht="15" hidden="false" customHeight="false" outlineLevel="0" collapsed="false">
      <c r="A9" s="7" t="s">
        <v>32</v>
      </c>
      <c r="B9" s="7" t="s">
        <v>85</v>
      </c>
      <c r="C9" s="7" t="s">
        <v>86</v>
      </c>
      <c r="D9" s="8" t="n">
        <v>3</v>
      </c>
      <c r="E9" s="8" t="n">
        <v>40</v>
      </c>
      <c r="F9" s="8" t="n">
        <v>0</v>
      </c>
      <c r="G9" s="8" t="n">
        <v>15</v>
      </c>
      <c r="H9" s="8" t="n">
        <v>20</v>
      </c>
      <c r="I9" s="8" t="s">
        <v>87</v>
      </c>
      <c r="J9" s="8" t="n">
        <v>5</v>
      </c>
      <c r="K9" s="8" t="n">
        <v>2</v>
      </c>
      <c r="L9" s="8" t="s">
        <v>88</v>
      </c>
    </row>
    <row r="10" customFormat="false" ht="15" hidden="false" customHeight="false" outlineLevel="0" collapsed="false">
      <c r="A10" s="5" t="s">
        <v>34</v>
      </c>
      <c r="B10" s="5" t="s">
        <v>89</v>
      </c>
      <c r="C10" s="5" t="s">
        <v>90</v>
      </c>
      <c r="D10" s="6" t="n">
        <v>1</v>
      </c>
      <c r="E10" s="6" t="n">
        <v>40</v>
      </c>
      <c r="F10" s="6" t="n">
        <v>5</v>
      </c>
      <c r="G10" s="6" t="n">
        <v>2</v>
      </c>
      <c r="H10" s="6" t="n">
        <v>3</v>
      </c>
      <c r="I10" s="6"/>
      <c r="J10" s="6" t="n">
        <v>0</v>
      </c>
      <c r="K10" s="6" t="n">
        <v>2</v>
      </c>
      <c r="L10" s="6" t="s">
        <v>91</v>
      </c>
    </row>
    <row r="11" customFormat="false" ht="15" hidden="false" customHeight="false" outlineLevel="0" collapsed="false">
      <c r="A11" s="7" t="s">
        <v>34</v>
      </c>
      <c r="B11" s="7" t="s">
        <v>92</v>
      </c>
      <c r="C11" s="7" t="s">
        <v>93</v>
      </c>
      <c r="D11" s="8" t="n">
        <v>1</v>
      </c>
      <c r="E11" s="8" t="n">
        <v>40</v>
      </c>
      <c r="F11" s="8" t="n">
        <v>5</v>
      </c>
      <c r="G11" s="8" t="n">
        <v>2</v>
      </c>
      <c r="H11" s="8" t="n">
        <v>3</v>
      </c>
      <c r="I11" s="8"/>
      <c r="J11" s="8" t="n">
        <v>0</v>
      </c>
      <c r="K11" s="8" t="n">
        <v>2</v>
      </c>
      <c r="L11" s="8" t="s">
        <v>94</v>
      </c>
    </row>
    <row r="12" customFormat="false" ht="15" hidden="false" customHeight="false" outlineLevel="0" collapsed="false">
      <c r="A12" s="5" t="s">
        <v>34</v>
      </c>
      <c r="B12" s="5" t="s">
        <v>95</v>
      </c>
      <c r="C12" s="5" t="s">
        <v>96</v>
      </c>
      <c r="D12" s="6" t="n">
        <v>1</v>
      </c>
      <c r="E12" s="6" t="n">
        <v>40</v>
      </c>
      <c r="F12" s="6" t="n">
        <v>5</v>
      </c>
      <c r="G12" s="6" t="n">
        <v>2</v>
      </c>
      <c r="H12" s="6" t="n">
        <v>3</v>
      </c>
      <c r="I12" s="6"/>
      <c r="J12" s="6" t="n">
        <v>0</v>
      </c>
      <c r="K12" s="6" t="n">
        <v>2</v>
      </c>
      <c r="L12" s="6" t="s">
        <v>97</v>
      </c>
    </row>
    <row r="13" customFormat="false" ht="15" hidden="false" customHeight="false" outlineLevel="0" collapsed="false">
      <c r="A13" s="7" t="s">
        <v>34</v>
      </c>
      <c r="B13" s="7" t="s">
        <v>98</v>
      </c>
      <c r="C13" s="7" t="s">
        <v>99</v>
      </c>
      <c r="D13" s="8" t="n">
        <v>1</v>
      </c>
      <c r="E13" s="8" t="n">
        <v>40</v>
      </c>
      <c r="F13" s="8" t="n">
        <v>5</v>
      </c>
      <c r="G13" s="8" t="n">
        <v>2</v>
      </c>
      <c r="H13" s="8" t="n">
        <v>3</v>
      </c>
      <c r="I13" s="8"/>
      <c r="J13" s="8" t="n">
        <v>0</v>
      </c>
      <c r="K13" s="8" t="n">
        <v>2</v>
      </c>
      <c r="L13" s="8" t="s">
        <v>100</v>
      </c>
    </row>
    <row r="14" customFormat="false" ht="15" hidden="false" customHeight="false" outlineLevel="0" collapsed="false">
      <c r="A14" s="5" t="s">
        <v>34</v>
      </c>
      <c r="B14" s="5" t="s">
        <v>101</v>
      </c>
      <c r="C14" s="5" t="s">
        <v>102</v>
      </c>
      <c r="D14" s="6" t="n">
        <v>1</v>
      </c>
      <c r="E14" s="6" t="n">
        <v>55</v>
      </c>
      <c r="F14" s="6" t="n">
        <v>6</v>
      </c>
      <c r="G14" s="6" t="n">
        <v>3</v>
      </c>
      <c r="H14" s="6" t="n">
        <v>8</v>
      </c>
      <c r="I14" s="6"/>
      <c r="J14" s="6" t="n">
        <v>0</v>
      </c>
      <c r="K14" s="6" t="n">
        <v>2</v>
      </c>
      <c r="L14" s="6" t="s">
        <v>103</v>
      </c>
    </row>
    <row r="15" customFormat="false" ht="15" hidden="false" customHeight="false" outlineLevel="0" collapsed="false">
      <c r="A15" s="7" t="s">
        <v>34</v>
      </c>
      <c r="B15" s="7" t="s">
        <v>104</v>
      </c>
      <c r="C15" s="7" t="s">
        <v>105</v>
      </c>
      <c r="D15" s="8" t="n">
        <v>1</v>
      </c>
      <c r="E15" s="8" t="n">
        <v>20</v>
      </c>
      <c r="F15" s="8" t="n">
        <v>18</v>
      </c>
      <c r="G15" s="8" t="n">
        <v>6</v>
      </c>
      <c r="H15" s="8" t="n">
        <v>10</v>
      </c>
      <c r="I15" s="8" t="s">
        <v>106</v>
      </c>
      <c r="J15" s="8" t="n">
        <v>0</v>
      </c>
      <c r="K15" s="8" t="n">
        <v>2</v>
      </c>
      <c r="L15" s="8" t="s">
        <v>107</v>
      </c>
    </row>
    <row r="16" customFormat="false" ht="15" hidden="false" customHeight="false" outlineLevel="0" collapsed="false">
      <c r="A16" s="5" t="s">
        <v>34</v>
      </c>
      <c r="B16" s="5" t="s">
        <v>108</v>
      </c>
      <c r="C16" s="5" t="s">
        <v>109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25</v>
      </c>
      <c r="I16" s="6" t="s">
        <v>110</v>
      </c>
      <c r="J16" s="6" t="n">
        <v>0</v>
      </c>
      <c r="K16" s="6" t="n">
        <v>1</v>
      </c>
      <c r="L16" s="6" t="s">
        <v>111</v>
      </c>
    </row>
    <row r="17" customFormat="false" ht="15" hidden="false" customHeight="false" outlineLevel="0" collapsed="false">
      <c r="A17" s="7" t="s">
        <v>34</v>
      </c>
      <c r="B17" s="7" t="s">
        <v>112</v>
      </c>
      <c r="C17" s="7" t="s">
        <v>113</v>
      </c>
      <c r="D17" s="8" t="n">
        <v>2</v>
      </c>
      <c r="E17" s="8" t="n">
        <v>12</v>
      </c>
      <c r="F17" s="8" t="n">
        <v>45</v>
      </c>
      <c r="G17" s="8" t="n">
        <v>2</v>
      </c>
      <c r="H17" s="8" t="n">
        <v>18</v>
      </c>
      <c r="I17" s="8" t="s">
        <v>73</v>
      </c>
      <c r="J17" s="8" t="n">
        <v>3</v>
      </c>
      <c r="K17" s="8" t="n">
        <v>1</v>
      </c>
      <c r="L17" s="8" t="s">
        <v>114</v>
      </c>
    </row>
    <row r="18" customFormat="false" ht="15" hidden="false" customHeight="false" outlineLevel="0" collapsed="false">
      <c r="A18" s="5" t="s">
        <v>34</v>
      </c>
      <c r="B18" s="5" t="s">
        <v>115</v>
      </c>
      <c r="C18" s="5" t="s">
        <v>116</v>
      </c>
      <c r="D18" s="6" t="n">
        <v>2</v>
      </c>
      <c r="E18" s="6" t="n">
        <v>18</v>
      </c>
      <c r="F18" s="6" t="n">
        <v>30</v>
      </c>
      <c r="G18" s="6" t="n">
        <v>1.5</v>
      </c>
      <c r="H18" s="6" t="n">
        <v>10</v>
      </c>
      <c r="I18" s="6" t="s">
        <v>117</v>
      </c>
      <c r="J18" s="6" t="n">
        <v>8</v>
      </c>
      <c r="K18" s="6" t="n">
        <v>2</v>
      </c>
      <c r="L18" s="6" t="s">
        <v>118</v>
      </c>
    </row>
    <row r="19" customFormat="false" ht="15" hidden="false" customHeight="false" outlineLevel="0" collapsed="false">
      <c r="A19" s="7" t="s">
        <v>34</v>
      </c>
      <c r="B19" s="7" t="s">
        <v>119</v>
      </c>
      <c r="C19" s="7" t="s">
        <v>120</v>
      </c>
      <c r="D19" s="8" t="n">
        <v>2</v>
      </c>
      <c r="E19" s="8" t="n">
        <v>60</v>
      </c>
      <c r="F19" s="8" t="n">
        <v>30</v>
      </c>
      <c r="G19" s="8" t="n">
        <v>3</v>
      </c>
      <c r="H19" s="8" t="n">
        <v>14</v>
      </c>
      <c r="I19" s="8" t="s">
        <v>117</v>
      </c>
      <c r="J19" s="8" t="n">
        <v>6</v>
      </c>
      <c r="K19" s="8" t="n">
        <v>2</v>
      </c>
      <c r="L19" s="8" t="s">
        <v>121</v>
      </c>
    </row>
    <row r="20" customFormat="false" ht="15" hidden="false" customHeight="false" outlineLevel="0" collapsed="false">
      <c r="A20" s="5" t="s">
        <v>36</v>
      </c>
      <c r="B20" s="5" t="s">
        <v>122</v>
      </c>
      <c r="C20" s="5" t="s">
        <v>123</v>
      </c>
      <c r="D20" s="6" t="n">
        <v>1</v>
      </c>
      <c r="E20" s="6" t="n">
        <v>45</v>
      </c>
      <c r="F20" s="6" t="n">
        <v>6</v>
      </c>
      <c r="G20" s="6" t="n">
        <v>3</v>
      </c>
      <c r="H20" s="6" t="n">
        <v>3</v>
      </c>
      <c r="I20" s="6"/>
      <c r="J20" s="6" t="n">
        <v>0</v>
      </c>
      <c r="K20" s="6" t="n">
        <v>3</v>
      </c>
      <c r="L20" s="6" t="s">
        <v>124</v>
      </c>
    </row>
    <row r="21" customFormat="false" ht="15" hidden="false" customHeight="false" outlineLevel="0" collapsed="false">
      <c r="A21" s="7" t="s">
        <v>36</v>
      </c>
      <c r="B21" s="7" t="s">
        <v>125</v>
      </c>
      <c r="C21" s="7" t="s">
        <v>126</v>
      </c>
      <c r="D21" s="8" t="n">
        <v>1</v>
      </c>
      <c r="E21" s="8" t="n">
        <v>35</v>
      </c>
      <c r="F21" s="8" t="n">
        <v>8</v>
      </c>
      <c r="G21" s="8" t="n">
        <v>4</v>
      </c>
      <c r="H21" s="8" t="n">
        <v>8</v>
      </c>
      <c r="I21" s="8" t="s">
        <v>127</v>
      </c>
      <c r="J21" s="8" t="n">
        <v>6</v>
      </c>
      <c r="K21" s="8" t="n">
        <v>2</v>
      </c>
      <c r="L21" s="8" t="s">
        <v>128</v>
      </c>
    </row>
    <row r="22" customFormat="false" ht="15" hidden="false" customHeight="false" outlineLevel="0" collapsed="false">
      <c r="A22" s="5" t="s">
        <v>36</v>
      </c>
      <c r="B22" s="5" t="s">
        <v>129</v>
      </c>
      <c r="C22" s="5" t="s">
        <v>130</v>
      </c>
      <c r="D22" s="6" t="n">
        <v>1</v>
      </c>
      <c r="E22" s="6" t="n">
        <v>0</v>
      </c>
      <c r="F22" s="6" t="n">
        <v>0</v>
      </c>
      <c r="G22" s="6" t="n">
        <v>14</v>
      </c>
      <c r="H22" s="6" t="n">
        <v>15</v>
      </c>
      <c r="I22" s="6" t="s">
        <v>131</v>
      </c>
      <c r="J22" s="6" t="n">
        <v>5</v>
      </c>
      <c r="K22" s="6" t="n">
        <v>1</v>
      </c>
      <c r="L22" s="6" t="s">
        <v>132</v>
      </c>
    </row>
    <row r="23" customFormat="false" ht="15" hidden="false" customHeight="false" outlineLevel="0" collapsed="false">
      <c r="A23" s="7" t="s">
        <v>36</v>
      </c>
      <c r="B23" s="7" t="s">
        <v>133</v>
      </c>
      <c r="C23" s="7" t="s">
        <v>134</v>
      </c>
      <c r="D23" s="8" t="n">
        <v>1</v>
      </c>
      <c r="E23" s="8" t="n">
        <v>0</v>
      </c>
      <c r="F23" s="8" t="n">
        <v>0</v>
      </c>
      <c r="G23" s="8" t="n">
        <v>0</v>
      </c>
      <c r="H23" s="8" t="n">
        <v>25</v>
      </c>
      <c r="I23" s="8" t="s">
        <v>110</v>
      </c>
      <c r="J23" s="8" t="n">
        <v>0</v>
      </c>
      <c r="K23" s="8" t="n">
        <v>1</v>
      </c>
      <c r="L23" s="8" t="s">
        <v>135</v>
      </c>
    </row>
    <row r="24" customFormat="false" ht="15" hidden="false" customHeight="false" outlineLevel="0" collapsed="false">
      <c r="A24" s="5" t="s">
        <v>36</v>
      </c>
      <c r="B24" s="5" t="s">
        <v>136</v>
      </c>
      <c r="C24" s="5" t="s">
        <v>137</v>
      </c>
      <c r="D24" s="6" t="n">
        <v>1</v>
      </c>
      <c r="E24" s="6" t="n">
        <v>5</v>
      </c>
      <c r="F24" s="6" t="n">
        <v>24</v>
      </c>
      <c r="G24" s="6" t="n">
        <v>1.5</v>
      </c>
      <c r="H24" s="6" t="n">
        <v>12</v>
      </c>
      <c r="I24" s="6" t="s">
        <v>138</v>
      </c>
      <c r="J24" s="6" t="n">
        <v>3</v>
      </c>
      <c r="K24" s="6" t="n">
        <v>2</v>
      </c>
      <c r="L24" s="6" t="s">
        <v>139</v>
      </c>
    </row>
    <row r="25" customFormat="false" ht="15" hidden="false" customHeight="false" outlineLevel="0" collapsed="false">
      <c r="A25" s="7" t="s">
        <v>36</v>
      </c>
      <c r="B25" s="7" t="s">
        <v>140</v>
      </c>
      <c r="C25" s="7" t="s">
        <v>141</v>
      </c>
      <c r="D25" s="8" t="n">
        <v>2</v>
      </c>
      <c r="E25" s="8" t="n">
        <v>10</v>
      </c>
      <c r="F25" s="8" t="n">
        <v>20</v>
      </c>
      <c r="G25" s="8" t="n">
        <v>6</v>
      </c>
      <c r="H25" s="8" t="n">
        <v>18</v>
      </c>
      <c r="I25" s="8" t="s">
        <v>142</v>
      </c>
      <c r="J25" s="8" t="n">
        <v>4</v>
      </c>
      <c r="K25" s="8" t="n">
        <v>1</v>
      </c>
      <c r="L25" s="8" t="s">
        <v>143</v>
      </c>
    </row>
    <row r="26" customFormat="false" ht="15" hidden="false" customHeight="false" outlineLevel="0" collapsed="false">
      <c r="A26" s="5" t="s">
        <v>36</v>
      </c>
      <c r="B26" s="5" t="s">
        <v>144</v>
      </c>
      <c r="C26" s="5" t="s">
        <v>145</v>
      </c>
      <c r="D26" s="6" t="n">
        <v>2</v>
      </c>
      <c r="E26" s="6" t="n">
        <v>50</v>
      </c>
      <c r="F26" s="6" t="n">
        <v>30</v>
      </c>
      <c r="G26" s="6" t="n">
        <v>3</v>
      </c>
      <c r="H26" s="6" t="n">
        <v>12</v>
      </c>
      <c r="I26" s="6"/>
      <c r="J26" s="6" t="n">
        <v>0</v>
      </c>
      <c r="K26" s="6" t="n">
        <v>2</v>
      </c>
      <c r="L26" s="6" t="s">
        <v>146</v>
      </c>
    </row>
    <row r="27" customFormat="false" ht="15" hidden="false" customHeight="false" outlineLevel="0" collapsed="false">
      <c r="A27" s="7" t="s">
        <v>36</v>
      </c>
      <c r="B27" s="7" t="s">
        <v>147</v>
      </c>
      <c r="C27" s="7" t="s">
        <v>148</v>
      </c>
      <c r="D27" s="8" t="n">
        <v>2</v>
      </c>
      <c r="E27" s="8" t="n">
        <v>60</v>
      </c>
      <c r="F27" s="8" t="n">
        <v>28</v>
      </c>
      <c r="G27" s="8" t="n">
        <v>3</v>
      </c>
      <c r="H27" s="8" t="n">
        <v>14</v>
      </c>
      <c r="I27" s="8"/>
      <c r="J27" s="8" t="n">
        <v>0</v>
      </c>
      <c r="K27" s="8" t="n">
        <v>2</v>
      </c>
      <c r="L27" s="8" t="s">
        <v>149</v>
      </c>
    </row>
    <row r="28" customFormat="false" ht="15" hidden="false" customHeight="false" outlineLevel="0" collapsed="false">
      <c r="A28" s="5" t="s">
        <v>36</v>
      </c>
      <c r="B28" s="5" t="s">
        <v>150</v>
      </c>
      <c r="C28" s="5" t="s">
        <v>151</v>
      </c>
      <c r="D28" s="6" t="n">
        <v>3</v>
      </c>
      <c r="E28" s="6" t="n">
        <v>0</v>
      </c>
      <c r="F28" s="6" t="n">
        <v>0</v>
      </c>
      <c r="G28" s="6" t="n">
        <v>30</v>
      </c>
      <c r="H28" s="6" t="n">
        <v>30</v>
      </c>
      <c r="I28" s="6" t="s">
        <v>152</v>
      </c>
      <c r="J28" s="6" t="n">
        <v>0</v>
      </c>
      <c r="K28" s="6" t="n">
        <v>1</v>
      </c>
      <c r="L28" s="6" t="s">
        <v>135</v>
      </c>
    </row>
    <row r="29" customFormat="false" ht="15" hidden="false" customHeight="false" outlineLevel="0" collapsed="false">
      <c r="A29" s="7" t="s">
        <v>38</v>
      </c>
      <c r="B29" s="7" t="s">
        <v>153</v>
      </c>
      <c r="C29" s="7" t="s">
        <v>154</v>
      </c>
      <c r="D29" s="8" t="n">
        <v>1</v>
      </c>
      <c r="E29" s="8" t="n">
        <v>55</v>
      </c>
      <c r="F29" s="8" t="n">
        <v>12</v>
      </c>
      <c r="G29" s="8" t="n">
        <v>4</v>
      </c>
      <c r="H29" s="8" t="n">
        <v>5</v>
      </c>
      <c r="I29" s="8"/>
      <c r="J29" s="8" t="n">
        <v>0</v>
      </c>
      <c r="K29" s="8" t="n">
        <v>2</v>
      </c>
      <c r="L29" s="8" t="s">
        <v>155</v>
      </c>
    </row>
    <row r="30" customFormat="false" ht="15" hidden="false" customHeight="false" outlineLevel="0" collapsed="false">
      <c r="A30" s="5" t="s">
        <v>38</v>
      </c>
      <c r="B30" s="5" t="s">
        <v>156</v>
      </c>
      <c r="C30" s="5" t="s">
        <v>157</v>
      </c>
      <c r="D30" s="6" t="n">
        <v>1</v>
      </c>
      <c r="E30" s="6" t="n">
        <v>50</v>
      </c>
      <c r="F30" s="6" t="n">
        <v>12</v>
      </c>
      <c r="G30" s="6" t="n">
        <v>4</v>
      </c>
      <c r="H30" s="6" t="n">
        <v>5</v>
      </c>
      <c r="I30" s="6"/>
      <c r="J30" s="6" t="n">
        <v>0</v>
      </c>
      <c r="K30" s="6" t="n">
        <v>2</v>
      </c>
      <c r="L30" s="6" t="s">
        <v>158</v>
      </c>
    </row>
    <row r="31" customFormat="false" ht="15" hidden="false" customHeight="false" outlineLevel="0" collapsed="false">
      <c r="A31" s="7" t="s">
        <v>38</v>
      </c>
      <c r="B31" s="7" t="s">
        <v>159</v>
      </c>
      <c r="C31" s="7" t="s">
        <v>160</v>
      </c>
      <c r="D31" s="8" t="n">
        <v>1</v>
      </c>
      <c r="E31" s="8" t="n">
        <v>45</v>
      </c>
      <c r="F31" s="8" t="n">
        <v>14</v>
      </c>
      <c r="G31" s="8" t="n">
        <v>8</v>
      </c>
      <c r="H31" s="8" t="n">
        <v>7</v>
      </c>
      <c r="I31" s="8" t="s">
        <v>106</v>
      </c>
      <c r="J31" s="8" t="n">
        <v>0</v>
      </c>
      <c r="K31" s="8" t="n">
        <v>2</v>
      </c>
      <c r="L31" s="8" t="s">
        <v>161</v>
      </c>
    </row>
    <row r="32" customFormat="false" ht="15" hidden="false" customHeight="false" outlineLevel="0" collapsed="false">
      <c r="A32" s="5" t="s">
        <v>38</v>
      </c>
      <c r="B32" s="5" t="s">
        <v>78</v>
      </c>
      <c r="C32" s="5" t="s">
        <v>79</v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15</v>
      </c>
      <c r="I32" s="6" t="s">
        <v>162</v>
      </c>
      <c r="J32" s="6" t="n">
        <v>0</v>
      </c>
      <c r="K32" s="6" t="n">
        <v>1</v>
      </c>
      <c r="L32" s="6" t="s">
        <v>163</v>
      </c>
    </row>
    <row r="33" customFormat="false" ht="15" hidden="false" customHeight="false" outlineLevel="0" collapsed="false">
      <c r="A33" s="7" t="s">
        <v>38</v>
      </c>
      <c r="B33" s="7" t="s">
        <v>164</v>
      </c>
      <c r="C33" s="7" t="s">
        <v>165</v>
      </c>
      <c r="D33" s="8" t="n">
        <v>1</v>
      </c>
      <c r="E33" s="8" t="n">
        <v>35</v>
      </c>
      <c r="F33" s="8" t="n">
        <v>60</v>
      </c>
      <c r="G33" s="8" t="n">
        <v>2</v>
      </c>
      <c r="H33" s="8" t="n">
        <v>14</v>
      </c>
      <c r="I33" s="8"/>
      <c r="J33" s="8" t="n">
        <v>0</v>
      </c>
      <c r="K33" s="8" t="n">
        <v>2</v>
      </c>
      <c r="L33" s="8" t="s">
        <v>166</v>
      </c>
    </row>
    <row r="34" customFormat="false" ht="15" hidden="false" customHeight="false" outlineLevel="0" collapsed="false">
      <c r="A34" s="5" t="s">
        <v>38</v>
      </c>
      <c r="B34" s="5" t="s">
        <v>167</v>
      </c>
      <c r="C34" s="5" t="s">
        <v>168</v>
      </c>
      <c r="D34" s="6" t="n">
        <v>1</v>
      </c>
      <c r="E34" s="6" t="n">
        <v>60</v>
      </c>
      <c r="F34" s="6" t="n">
        <v>40</v>
      </c>
      <c r="G34" s="6" t="n">
        <v>5</v>
      </c>
      <c r="H34" s="6" t="n">
        <v>18</v>
      </c>
      <c r="I34" s="6" t="s">
        <v>169</v>
      </c>
      <c r="J34" s="6" t="n">
        <v>0</v>
      </c>
      <c r="K34" s="6" t="n">
        <v>1</v>
      </c>
      <c r="L34" s="6" t="s">
        <v>167</v>
      </c>
    </row>
    <row r="35" customFormat="false" ht="15" hidden="false" customHeight="false" outlineLevel="0" collapsed="false">
      <c r="A35" s="7" t="s">
        <v>38</v>
      </c>
      <c r="B35" s="7" t="s">
        <v>170</v>
      </c>
      <c r="C35" s="7" t="s">
        <v>171</v>
      </c>
      <c r="D35" s="8" t="n">
        <v>2</v>
      </c>
      <c r="E35" s="8" t="n">
        <v>35</v>
      </c>
      <c r="F35" s="8" t="n">
        <v>60</v>
      </c>
      <c r="G35" s="8" t="n">
        <v>3</v>
      </c>
      <c r="H35" s="8" t="n">
        <v>18</v>
      </c>
      <c r="I35" s="8"/>
      <c r="J35" s="8" t="n">
        <v>0</v>
      </c>
      <c r="K35" s="8" t="n">
        <v>2</v>
      </c>
      <c r="L35" s="8" t="s">
        <v>172</v>
      </c>
    </row>
    <row r="36" customFormat="false" ht="15" hidden="false" customHeight="false" outlineLevel="0" collapsed="false">
      <c r="A36" s="5" t="s">
        <v>38</v>
      </c>
      <c r="B36" s="5" t="s">
        <v>173</v>
      </c>
      <c r="C36" s="5" t="s">
        <v>174</v>
      </c>
      <c r="D36" s="6" t="n">
        <v>2</v>
      </c>
      <c r="E36" s="6" t="n">
        <v>0</v>
      </c>
      <c r="F36" s="6" t="n">
        <v>0</v>
      </c>
      <c r="G36" s="6" t="n">
        <v>0</v>
      </c>
      <c r="H36" s="6" t="n">
        <v>30</v>
      </c>
      <c r="I36" s="6" t="s">
        <v>110</v>
      </c>
      <c r="J36" s="6" t="n">
        <v>0</v>
      </c>
      <c r="K36" s="6" t="n">
        <v>1</v>
      </c>
      <c r="L36" s="6" t="s">
        <v>175</v>
      </c>
    </row>
    <row r="37" customFormat="false" ht="15" hidden="false" customHeight="false" outlineLevel="0" collapsed="false">
      <c r="A37" s="7" t="s">
        <v>38</v>
      </c>
      <c r="B37" s="7" t="s">
        <v>176</v>
      </c>
      <c r="C37" s="7" t="s">
        <v>177</v>
      </c>
      <c r="D37" s="8" t="n">
        <v>2</v>
      </c>
      <c r="E37" s="8" t="n">
        <v>5</v>
      </c>
      <c r="F37" s="8" t="n">
        <v>0</v>
      </c>
      <c r="G37" s="8" t="n">
        <v>16</v>
      </c>
      <c r="H37" s="8" t="n">
        <v>20</v>
      </c>
      <c r="I37" s="8" t="s">
        <v>178</v>
      </c>
      <c r="J37" s="8" t="n">
        <v>5</v>
      </c>
      <c r="K37" s="8" t="n">
        <v>1</v>
      </c>
      <c r="L37" s="8" t="s">
        <v>179</v>
      </c>
    </row>
    <row r="38" customFormat="false" ht="15" hidden="false" customHeight="false" outlineLevel="0" collapsed="false">
      <c r="A38" s="5" t="s">
        <v>38</v>
      </c>
      <c r="B38" s="5" t="s">
        <v>180</v>
      </c>
      <c r="C38" s="5" t="s">
        <v>181</v>
      </c>
      <c r="D38" s="6" t="n">
        <v>2</v>
      </c>
      <c r="E38" s="6" t="n">
        <v>40</v>
      </c>
      <c r="F38" s="6" t="n">
        <v>14</v>
      </c>
      <c r="G38" s="6" t="n">
        <v>2</v>
      </c>
      <c r="H38" s="6" t="n">
        <v>12</v>
      </c>
      <c r="I38" s="6" t="s">
        <v>182</v>
      </c>
      <c r="J38" s="6" t="n">
        <v>0</v>
      </c>
      <c r="K38" s="6" t="n">
        <v>2</v>
      </c>
      <c r="L38" s="6" t="s">
        <v>183</v>
      </c>
    </row>
    <row r="39" customFormat="false" ht="15" hidden="false" customHeight="false" outlineLevel="0" collapsed="false">
      <c r="A39" s="7" t="s">
        <v>38</v>
      </c>
      <c r="B39" s="7" t="s">
        <v>184</v>
      </c>
      <c r="C39" s="7" t="s">
        <v>185</v>
      </c>
      <c r="D39" s="8" t="n">
        <v>3</v>
      </c>
      <c r="E39" s="8" t="n">
        <v>70</v>
      </c>
      <c r="F39" s="8" t="n">
        <v>50</v>
      </c>
      <c r="G39" s="8" t="n">
        <v>6</v>
      </c>
      <c r="H39" s="8" t="n">
        <v>10</v>
      </c>
      <c r="I39" s="8"/>
      <c r="J39" s="8" t="n">
        <v>0</v>
      </c>
      <c r="K39" s="8" t="n">
        <v>2</v>
      </c>
      <c r="L39" s="8" t="s">
        <v>186</v>
      </c>
    </row>
    <row r="40" customFormat="false" ht="15" hidden="false" customHeight="false" outlineLevel="0" collapsed="false">
      <c r="A40" s="5" t="s">
        <v>40</v>
      </c>
      <c r="B40" s="5" t="s">
        <v>187</v>
      </c>
      <c r="C40" s="5" t="s">
        <v>188</v>
      </c>
      <c r="D40" s="6" t="n">
        <v>1</v>
      </c>
      <c r="E40" s="6" t="n">
        <v>50</v>
      </c>
      <c r="F40" s="6" t="n">
        <v>20</v>
      </c>
      <c r="G40" s="6" t="n">
        <v>4</v>
      </c>
      <c r="H40" s="6" t="n">
        <v>12</v>
      </c>
      <c r="I40" s="6" t="s">
        <v>182</v>
      </c>
      <c r="J40" s="6" t="n">
        <v>0</v>
      </c>
      <c r="K40" s="6" t="n">
        <v>2</v>
      </c>
      <c r="L40" s="6" t="s">
        <v>189</v>
      </c>
    </row>
    <row r="41" customFormat="false" ht="15" hidden="false" customHeight="false" outlineLevel="0" collapsed="false">
      <c r="A41" s="7" t="s">
        <v>40</v>
      </c>
      <c r="B41" s="7" t="s">
        <v>190</v>
      </c>
      <c r="C41" s="7" t="s">
        <v>191</v>
      </c>
      <c r="D41" s="8" t="n">
        <v>1</v>
      </c>
      <c r="E41" s="8" t="n">
        <v>50</v>
      </c>
      <c r="F41" s="8" t="n">
        <v>12</v>
      </c>
      <c r="G41" s="8" t="n">
        <v>4</v>
      </c>
      <c r="H41" s="8" t="n">
        <v>5</v>
      </c>
      <c r="I41" s="8"/>
      <c r="J41" s="8" t="n">
        <v>0</v>
      </c>
      <c r="K41" s="8" t="n">
        <v>3</v>
      </c>
      <c r="L41" s="8" t="s">
        <v>192</v>
      </c>
    </row>
    <row r="42" customFormat="false" ht="15" hidden="false" customHeight="false" outlineLevel="0" collapsed="false">
      <c r="A42" s="5" t="s">
        <v>40</v>
      </c>
      <c r="B42" s="5" t="s">
        <v>193</v>
      </c>
      <c r="C42" s="5" t="s">
        <v>194</v>
      </c>
      <c r="D42" s="6" t="n">
        <v>1</v>
      </c>
      <c r="E42" s="6" t="n">
        <v>30</v>
      </c>
      <c r="F42" s="6" t="n">
        <v>60</v>
      </c>
      <c r="G42" s="6" t="n">
        <v>2.5</v>
      </c>
      <c r="H42" s="6" t="n">
        <v>14</v>
      </c>
      <c r="I42" s="6" t="s">
        <v>178</v>
      </c>
      <c r="J42" s="6" t="n">
        <v>2</v>
      </c>
      <c r="K42" s="6" t="n">
        <v>2</v>
      </c>
      <c r="L42" s="6" t="s">
        <v>166</v>
      </c>
    </row>
    <row r="43" customFormat="false" ht="15" hidden="false" customHeight="false" outlineLevel="0" collapsed="false">
      <c r="A43" s="7" t="s">
        <v>40</v>
      </c>
      <c r="B43" s="7" t="s">
        <v>195</v>
      </c>
      <c r="C43" s="7" t="s">
        <v>196</v>
      </c>
      <c r="D43" s="8" t="n">
        <v>1</v>
      </c>
      <c r="E43" s="8" t="n">
        <v>0</v>
      </c>
      <c r="F43" s="8" t="n">
        <v>0</v>
      </c>
      <c r="G43" s="8" t="n">
        <v>0</v>
      </c>
      <c r="H43" s="8" t="n">
        <v>15</v>
      </c>
      <c r="I43" s="8" t="s">
        <v>162</v>
      </c>
      <c r="J43" s="8" t="n">
        <v>0</v>
      </c>
      <c r="K43" s="8" t="n">
        <v>1</v>
      </c>
      <c r="L43" s="8" t="s">
        <v>197</v>
      </c>
    </row>
    <row r="44" customFormat="false" ht="15" hidden="false" customHeight="false" outlineLevel="0" collapsed="false">
      <c r="A44" s="5" t="s">
        <v>40</v>
      </c>
      <c r="B44" s="5" t="s">
        <v>198</v>
      </c>
      <c r="C44" s="5" t="s">
        <v>199</v>
      </c>
      <c r="D44" s="6" t="n">
        <v>2</v>
      </c>
      <c r="E44" s="6" t="n">
        <v>65</v>
      </c>
      <c r="F44" s="6" t="n">
        <v>50</v>
      </c>
      <c r="G44" s="6" t="n">
        <v>5</v>
      </c>
      <c r="H44" s="6" t="n">
        <v>18</v>
      </c>
      <c r="I44" s="6"/>
      <c r="J44" s="6" t="n">
        <v>0</v>
      </c>
      <c r="K44" s="6" t="n">
        <v>2</v>
      </c>
      <c r="L44" s="6" t="s">
        <v>186</v>
      </c>
    </row>
    <row r="45" customFormat="false" ht="15" hidden="false" customHeight="false" outlineLevel="0" collapsed="false">
      <c r="A45" s="7" t="s">
        <v>40</v>
      </c>
      <c r="B45" s="7" t="s">
        <v>170</v>
      </c>
      <c r="C45" s="7" t="s">
        <v>171</v>
      </c>
      <c r="D45" s="8" t="n">
        <v>2</v>
      </c>
      <c r="E45" s="8" t="n">
        <v>30</v>
      </c>
      <c r="F45" s="8" t="n">
        <v>60</v>
      </c>
      <c r="G45" s="8" t="n">
        <v>3</v>
      </c>
      <c r="H45" s="8" t="n">
        <v>18</v>
      </c>
      <c r="I45" s="8"/>
      <c r="J45" s="8" t="n">
        <v>0</v>
      </c>
      <c r="K45" s="8" t="n">
        <v>2</v>
      </c>
      <c r="L45" s="8" t="s">
        <v>172</v>
      </c>
    </row>
    <row r="46" customFormat="false" ht="15" hidden="false" customHeight="false" outlineLevel="0" collapsed="false">
      <c r="A46" s="5" t="s">
        <v>40</v>
      </c>
      <c r="B46" s="5" t="s">
        <v>200</v>
      </c>
      <c r="C46" s="5" t="s">
        <v>201</v>
      </c>
      <c r="D46" s="6" t="n">
        <v>2</v>
      </c>
      <c r="E46" s="6" t="n">
        <v>15</v>
      </c>
      <c r="F46" s="6" t="n">
        <v>0</v>
      </c>
      <c r="G46" s="6" t="n">
        <v>14</v>
      </c>
      <c r="H46" s="6" t="n">
        <v>22</v>
      </c>
      <c r="I46" s="6" t="s">
        <v>178</v>
      </c>
      <c r="J46" s="6" t="n">
        <v>3</v>
      </c>
      <c r="K46" s="6" t="n">
        <v>1</v>
      </c>
      <c r="L46" s="6" t="s">
        <v>202</v>
      </c>
    </row>
    <row r="47" customFormat="false" ht="15" hidden="false" customHeight="false" outlineLevel="0" collapsed="false">
      <c r="A47" s="7" t="s">
        <v>40</v>
      </c>
      <c r="B47" s="7" t="s">
        <v>203</v>
      </c>
      <c r="C47" s="7" t="s">
        <v>204</v>
      </c>
      <c r="D47" s="8" t="n">
        <v>2</v>
      </c>
      <c r="E47" s="8" t="n">
        <v>0</v>
      </c>
      <c r="F47" s="8" t="n">
        <v>20</v>
      </c>
      <c r="G47" s="8" t="n">
        <v>20</v>
      </c>
      <c r="H47" s="8" t="n">
        <v>20</v>
      </c>
      <c r="I47" s="8" t="s">
        <v>205</v>
      </c>
      <c r="J47" s="8" t="n">
        <v>4</v>
      </c>
      <c r="K47" s="8" t="n">
        <v>1</v>
      </c>
      <c r="L47" s="8" t="s">
        <v>206</v>
      </c>
    </row>
    <row r="48" customFormat="false" ht="15" hidden="false" customHeight="false" outlineLevel="0" collapsed="false">
      <c r="A48" s="5" t="s">
        <v>42</v>
      </c>
      <c r="B48" s="5" t="s">
        <v>207</v>
      </c>
      <c r="C48" s="5" t="s">
        <v>208</v>
      </c>
      <c r="D48" s="6" t="n">
        <v>1</v>
      </c>
      <c r="E48" s="6" t="n">
        <v>50</v>
      </c>
      <c r="F48" s="6" t="n">
        <v>5</v>
      </c>
      <c r="G48" s="6" t="n">
        <v>3</v>
      </c>
      <c r="H48" s="6" t="n">
        <v>3</v>
      </c>
      <c r="I48" s="6"/>
      <c r="J48" s="6" t="n">
        <v>0</v>
      </c>
      <c r="K48" s="6" t="n">
        <v>3</v>
      </c>
      <c r="L48" s="6" t="s">
        <v>209</v>
      </c>
    </row>
    <row r="49" customFormat="false" ht="15" hidden="false" customHeight="false" outlineLevel="0" collapsed="false">
      <c r="A49" s="7" t="s">
        <v>42</v>
      </c>
      <c r="B49" s="7" t="s">
        <v>210</v>
      </c>
      <c r="C49" s="7" t="s">
        <v>211</v>
      </c>
      <c r="D49" s="8" t="n">
        <v>1</v>
      </c>
      <c r="E49" s="8" t="n">
        <v>35</v>
      </c>
      <c r="F49" s="8" t="n">
        <v>0</v>
      </c>
      <c r="G49" s="8" t="n">
        <v>10</v>
      </c>
      <c r="H49" s="8" t="n">
        <v>10</v>
      </c>
      <c r="I49" s="8" t="s">
        <v>131</v>
      </c>
      <c r="J49" s="8" t="n">
        <v>5</v>
      </c>
      <c r="K49" s="8" t="n">
        <v>2</v>
      </c>
      <c r="L49" s="8" t="s">
        <v>212</v>
      </c>
    </row>
    <row r="50" customFormat="false" ht="15" hidden="false" customHeight="false" outlineLevel="0" collapsed="false">
      <c r="A50" s="5" t="s">
        <v>42</v>
      </c>
      <c r="B50" s="5" t="s">
        <v>213</v>
      </c>
      <c r="C50" s="5" t="s">
        <v>214</v>
      </c>
      <c r="D50" s="6" t="n">
        <v>1</v>
      </c>
      <c r="E50" s="6" t="n">
        <v>0</v>
      </c>
      <c r="F50" s="6" t="n">
        <v>0</v>
      </c>
      <c r="G50" s="6" t="n">
        <v>0</v>
      </c>
      <c r="H50" s="6" t="n">
        <v>25</v>
      </c>
      <c r="I50" s="6" t="s">
        <v>110</v>
      </c>
      <c r="J50" s="6" t="n">
        <v>0</v>
      </c>
      <c r="K50" s="6" t="n">
        <v>1</v>
      </c>
      <c r="L50" s="6" t="s">
        <v>215</v>
      </c>
    </row>
    <row r="51" customFormat="false" ht="15" hidden="false" customHeight="false" outlineLevel="0" collapsed="false">
      <c r="A51" s="7" t="s">
        <v>42</v>
      </c>
      <c r="B51" s="7" t="s">
        <v>216</v>
      </c>
      <c r="C51" s="7" t="s">
        <v>217</v>
      </c>
      <c r="D51" s="8" t="n">
        <v>1</v>
      </c>
      <c r="E51" s="8" t="n">
        <v>40</v>
      </c>
      <c r="F51" s="8" t="n">
        <v>35</v>
      </c>
      <c r="G51" s="8" t="n">
        <v>1.5</v>
      </c>
      <c r="H51" s="8" t="n">
        <v>8</v>
      </c>
      <c r="I51" s="8" t="s">
        <v>131</v>
      </c>
      <c r="J51" s="8" t="n">
        <v>3</v>
      </c>
      <c r="K51" s="8" t="n">
        <v>2</v>
      </c>
      <c r="L51" s="8" t="s">
        <v>218</v>
      </c>
    </row>
    <row r="52" customFormat="false" ht="15" hidden="false" customHeight="false" outlineLevel="0" collapsed="false">
      <c r="A52" s="5" t="s">
        <v>42</v>
      </c>
      <c r="B52" s="5" t="s">
        <v>219</v>
      </c>
      <c r="C52" s="5" t="s">
        <v>220</v>
      </c>
      <c r="D52" s="6" t="n">
        <v>2</v>
      </c>
      <c r="E52" s="6" t="n">
        <v>0</v>
      </c>
      <c r="F52" s="6" t="n">
        <v>0</v>
      </c>
      <c r="G52" s="6" t="n">
        <v>30</v>
      </c>
      <c r="H52" s="6" t="n">
        <v>25</v>
      </c>
      <c r="I52" s="6" t="s">
        <v>221</v>
      </c>
      <c r="J52" s="6" t="n">
        <v>10</v>
      </c>
      <c r="K52" s="6" t="n">
        <v>1</v>
      </c>
      <c r="L52" s="6" t="s">
        <v>222</v>
      </c>
    </row>
    <row r="53" customFormat="false" ht="15" hidden="false" customHeight="false" outlineLevel="0" collapsed="false">
      <c r="A53" s="7" t="s">
        <v>42</v>
      </c>
      <c r="B53" s="7" t="s">
        <v>223</v>
      </c>
      <c r="C53" s="7" t="s">
        <v>224</v>
      </c>
      <c r="D53" s="8" t="n">
        <v>2</v>
      </c>
      <c r="E53" s="8" t="n">
        <v>35</v>
      </c>
      <c r="F53" s="8" t="n">
        <v>30</v>
      </c>
      <c r="G53" s="8" t="n">
        <v>10</v>
      </c>
      <c r="H53" s="8" t="n">
        <v>16</v>
      </c>
      <c r="I53" s="8"/>
      <c r="J53" s="8" t="n">
        <v>0</v>
      </c>
      <c r="K53" s="8" t="n">
        <v>2</v>
      </c>
      <c r="L53" s="8" t="s">
        <v>225</v>
      </c>
    </row>
    <row r="54" customFormat="false" ht="15" hidden="false" customHeight="false" outlineLevel="0" collapsed="false">
      <c r="A54" s="5" t="s">
        <v>42</v>
      </c>
      <c r="B54" s="5" t="s">
        <v>226</v>
      </c>
      <c r="C54" s="5" t="s">
        <v>227</v>
      </c>
      <c r="D54" s="6" t="n">
        <v>3</v>
      </c>
      <c r="E54" s="6" t="n">
        <v>6</v>
      </c>
      <c r="F54" s="6" t="n">
        <v>0</v>
      </c>
      <c r="G54" s="6" t="n">
        <v>40</v>
      </c>
      <c r="H54" s="6" t="n">
        <v>30</v>
      </c>
      <c r="I54" s="6" t="s">
        <v>228</v>
      </c>
      <c r="J54" s="6" t="n">
        <v>12</v>
      </c>
      <c r="K54" s="6" t="n">
        <v>1</v>
      </c>
      <c r="L54" s="6" t="s">
        <v>222</v>
      </c>
    </row>
    <row r="55" customFormat="false" ht="15" hidden="false" customHeight="false" outlineLevel="0" collapsed="false">
      <c r="A55" s="7" t="s">
        <v>44</v>
      </c>
      <c r="B55" s="7" t="s">
        <v>229</v>
      </c>
      <c r="C55" s="7" t="s">
        <v>230</v>
      </c>
      <c r="D55" s="8" t="n">
        <v>1</v>
      </c>
      <c r="E55" s="8" t="n">
        <v>45</v>
      </c>
      <c r="F55" s="8" t="n">
        <v>6</v>
      </c>
      <c r="G55" s="8" t="n">
        <v>3</v>
      </c>
      <c r="H55" s="8" t="n">
        <v>3</v>
      </c>
      <c r="I55" s="8"/>
      <c r="J55" s="8" t="n">
        <v>0</v>
      </c>
      <c r="K55" s="8" t="n">
        <v>2</v>
      </c>
      <c r="L55" s="8" t="s">
        <v>209</v>
      </c>
    </row>
    <row r="56" customFormat="false" ht="15" hidden="false" customHeight="false" outlineLevel="0" collapsed="false">
      <c r="A56" s="5" t="s">
        <v>44</v>
      </c>
      <c r="B56" s="5" t="s">
        <v>231</v>
      </c>
      <c r="C56" s="5" t="s">
        <v>232</v>
      </c>
      <c r="D56" s="6" t="n">
        <v>1</v>
      </c>
      <c r="E56" s="6" t="n">
        <v>50</v>
      </c>
      <c r="F56" s="6" t="n">
        <v>6</v>
      </c>
      <c r="G56" s="6" t="n">
        <v>3</v>
      </c>
      <c r="H56" s="6" t="n">
        <v>3</v>
      </c>
      <c r="I56" s="6"/>
      <c r="J56" s="6" t="n">
        <v>0</v>
      </c>
      <c r="K56" s="6" t="n">
        <v>2</v>
      </c>
      <c r="L56" s="6" t="s">
        <v>233</v>
      </c>
    </row>
    <row r="57" customFormat="false" ht="15" hidden="false" customHeight="false" outlineLevel="0" collapsed="false">
      <c r="A57" s="7" t="s">
        <v>44</v>
      </c>
      <c r="B57" s="7" t="s">
        <v>234</v>
      </c>
      <c r="C57" s="7" t="s">
        <v>235</v>
      </c>
      <c r="D57" s="8" t="n">
        <v>1</v>
      </c>
      <c r="E57" s="8" t="n">
        <v>55</v>
      </c>
      <c r="F57" s="8" t="n">
        <v>6</v>
      </c>
      <c r="G57" s="8" t="n">
        <v>3</v>
      </c>
      <c r="H57" s="8" t="n">
        <v>4</v>
      </c>
      <c r="I57" s="8"/>
      <c r="J57" s="8" t="n">
        <v>0</v>
      </c>
      <c r="K57" s="8" t="n">
        <v>2</v>
      </c>
      <c r="L57" s="8" t="s">
        <v>236</v>
      </c>
    </row>
    <row r="58" customFormat="false" ht="15" hidden="false" customHeight="false" outlineLevel="0" collapsed="false">
      <c r="A58" s="5" t="s">
        <v>44</v>
      </c>
      <c r="B58" s="5" t="s">
        <v>237</v>
      </c>
      <c r="C58" s="5" t="s">
        <v>238</v>
      </c>
      <c r="D58" s="6" t="n">
        <v>1</v>
      </c>
      <c r="E58" s="6" t="n">
        <v>70</v>
      </c>
      <c r="F58" s="6" t="n">
        <v>30</v>
      </c>
      <c r="G58" s="6" t="n">
        <v>7</v>
      </c>
      <c r="H58" s="6" t="n">
        <v>14</v>
      </c>
      <c r="I58" s="6" t="s">
        <v>106</v>
      </c>
      <c r="J58" s="6" t="n">
        <v>0</v>
      </c>
      <c r="K58" s="6" t="n">
        <v>2</v>
      </c>
      <c r="L58" s="6" t="s">
        <v>239</v>
      </c>
    </row>
    <row r="59" customFormat="false" ht="15" hidden="false" customHeight="false" outlineLevel="0" collapsed="false">
      <c r="A59" s="7" t="s">
        <v>44</v>
      </c>
      <c r="B59" s="7" t="s">
        <v>240</v>
      </c>
      <c r="C59" s="7" t="s">
        <v>241</v>
      </c>
      <c r="D59" s="8" t="n">
        <v>1</v>
      </c>
      <c r="E59" s="8" t="n">
        <v>55</v>
      </c>
      <c r="F59" s="8" t="n">
        <v>25</v>
      </c>
      <c r="G59" s="8" t="n">
        <v>3</v>
      </c>
      <c r="H59" s="8" t="n">
        <v>12</v>
      </c>
      <c r="I59" s="8" t="s">
        <v>242</v>
      </c>
      <c r="J59" s="8" t="n">
        <v>0</v>
      </c>
      <c r="K59" s="8" t="n">
        <v>2</v>
      </c>
      <c r="L59" s="8" t="s">
        <v>243</v>
      </c>
    </row>
    <row r="60" customFormat="false" ht="15" hidden="false" customHeight="false" outlineLevel="0" collapsed="false">
      <c r="A60" s="5" t="s">
        <v>44</v>
      </c>
      <c r="B60" s="5" t="s">
        <v>244</v>
      </c>
      <c r="C60" s="5" t="s">
        <v>245</v>
      </c>
      <c r="D60" s="6" t="n">
        <v>2</v>
      </c>
      <c r="E60" s="6" t="n">
        <v>65</v>
      </c>
      <c r="F60" s="6" t="n">
        <v>7</v>
      </c>
      <c r="G60" s="6" t="n">
        <v>3</v>
      </c>
      <c r="H60" s="6" t="n">
        <v>4</v>
      </c>
      <c r="I60" s="6"/>
      <c r="J60" s="6" t="n">
        <v>0</v>
      </c>
      <c r="K60" s="6" t="n">
        <v>2</v>
      </c>
      <c r="L60" s="6" t="s">
        <v>246</v>
      </c>
    </row>
    <row r="61" customFormat="false" ht="15" hidden="false" customHeight="false" outlineLevel="0" collapsed="false">
      <c r="A61" s="7" t="s">
        <v>44</v>
      </c>
      <c r="B61" s="7" t="s">
        <v>247</v>
      </c>
      <c r="C61" s="7" t="s">
        <v>248</v>
      </c>
      <c r="D61" s="8" t="n">
        <v>2</v>
      </c>
      <c r="E61" s="8" t="n">
        <v>75</v>
      </c>
      <c r="F61" s="8" t="n">
        <v>7</v>
      </c>
      <c r="G61" s="8" t="n">
        <v>3</v>
      </c>
      <c r="H61" s="8" t="n">
        <v>5</v>
      </c>
      <c r="I61" s="8"/>
      <c r="J61" s="8" t="n">
        <v>0</v>
      </c>
      <c r="K61" s="8" t="n">
        <v>2</v>
      </c>
      <c r="L61" s="8" t="s">
        <v>249</v>
      </c>
    </row>
    <row r="62" customFormat="false" ht="15" hidden="false" customHeight="false" outlineLevel="0" collapsed="false">
      <c r="A62" s="5" t="s">
        <v>44</v>
      </c>
      <c r="B62" s="5" t="s">
        <v>250</v>
      </c>
      <c r="C62" s="5" t="s">
        <v>251</v>
      </c>
      <c r="D62" s="6" t="n">
        <v>2</v>
      </c>
      <c r="E62" s="6" t="n">
        <v>40</v>
      </c>
      <c r="F62" s="6" t="n">
        <v>35</v>
      </c>
      <c r="G62" s="6" t="n">
        <v>12</v>
      </c>
      <c r="H62" s="6" t="n">
        <v>20</v>
      </c>
      <c r="I62" s="6"/>
      <c r="J62" s="6" t="n">
        <v>0</v>
      </c>
      <c r="K62" s="6" t="n">
        <v>1</v>
      </c>
      <c r="L62" s="6" t="s">
        <v>252</v>
      </c>
    </row>
    <row r="63" customFormat="false" ht="15" hidden="false" customHeight="false" outlineLevel="0" collapsed="false">
      <c r="A63" s="7" t="s">
        <v>44</v>
      </c>
      <c r="B63" s="7" t="s">
        <v>253</v>
      </c>
      <c r="C63" s="7" t="s">
        <v>254</v>
      </c>
      <c r="D63" s="8" t="n">
        <v>2</v>
      </c>
      <c r="E63" s="8" t="n">
        <v>45</v>
      </c>
      <c r="F63" s="8" t="n">
        <v>50</v>
      </c>
      <c r="G63" s="8" t="n">
        <v>2</v>
      </c>
      <c r="H63" s="8" t="n">
        <v>12</v>
      </c>
      <c r="I63" s="8" t="s">
        <v>255</v>
      </c>
      <c r="J63" s="8" t="n">
        <v>0</v>
      </c>
      <c r="K63" s="8" t="n">
        <v>2</v>
      </c>
      <c r="L63" s="8" t="s">
        <v>256</v>
      </c>
    </row>
    <row r="64" customFormat="false" ht="15" hidden="false" customHeight="false" outlineLevel="0" collapsed="false">
      <c r="A64" s="5" t="s">
        <v>44</v>
      </c>
      <c r="B64" s="5" t="s">
        <v>257</v>
      </c>
      <c r="C64" s="5" t="s">
        <v>258</v>
      </c>
      <c r="D64" s="6" t="n">
        <v>3</v>
      </c>
      <c r="E64" s="6" t="n">
        <v>0</v>
      </c>
      <c r="F64" s="6" t="n">
        <v>0</v>
      </c>
      <c r="G64" s="6" t="n">
        <v>0</v>
      </c>
      <c r="H64" s="6" t="n">
        <v>0</v>
      </c>
      <c r="I64" s="6" t="s">
        <v>259</v>
      </c>
      <c r="J64" s="6" t="n">
        <v>0</v>
      </c>
      <c r="K64" s="6" t="n">
        <v>1</v>
      </c>
      <c r="L64" s="6" t="s">
        <v>260</v>
      </c>
    </row>
    <row r="65" customFormat="false" ht="15" hidden="false" customHeight="false" outlineLevel="0" collapsed="false">
      <c r="A65" s="7" t="s">
        <v>46</v>
      </c>
      <c r="B65" s="7" t="s">
        <v>261</v>
      </c>
      <c r="C65" s="7" t="s">
        <v>262</v>
      </c>
      <c r="D65" s="8" t="n">
        <v>1</v>
      </c>
      <c r="E65" s="8" t="n">
        <v>30</v>
      </c>
      <c r="F65" s="8" t="n">
        <v>60</v>
      </c>
      <c r="G65" s="8" t="n">
        <v>2</v>
      </c>
      <c r="H65" s="8" t="n">
        <v>14</v>
      </c>
      <c r="I65" s="8" t="s">
        <v>73</v>
      </c>
      <c r="J65" s="8" t="n">
        <v>5</v>
      </c>
      <c r="K65" s="8" t="n">
        <v>2</v>
      </c>
      <c r="L65" s="8" t="s">
        <v>263</v>
      </c>
    </row>
    <row r="66" customFormat="false" ht="15" hidden="false" customHeight="false" outlineLevel="0" collapsed="false">
      <c r="A66" s="5" t="s">
        <v>46</v>
      </c>
      <c r="B66" s="5" t="s">
        <v>264</v>
      </c>
      <c r="C66" s="5" t="s">
        <v>265</v>
      </c>
      <c r="D66" s="6" t="n">
        <v>1</v>
      </c>
      <c r="E66" s="6" t="n">
        <v>0</v>
      </c>
      <c r="F66" s="6" t="n">
        <v>0</v>
      </c>
      <c r="G66" s="6" t="n">
        <v>0</v>
      </c>
      <c r="H66" s="6" t="n">
        <v>18</v>
      </c>
      <c r="I66" s="6" t="s">
        <v>162</v>
      </c>
      <c r="J66" s="6" t="n">
        <v>0</v>
      </c>
      <c r="K66" s="6" t="n">
        <v>1</v>
      </c>
      <c r="L66" s="6" t="s">
        <v>266</v>
      </c>
    </row>
    <row r="67" customFormat="false" ht="15" hidden="false" customHeight="false" outlineLevel="0" collapsed="false">
      <c r="A67" s="7" t="s">
        <v>46</v>
      </c>
      <c r="B67" s="7" t="s">
        <v>267</v>
      </c>
      <c r="C67" s="7" t="s">
        <v>268</v>
      </c>
      <c r="D67" s="8" t="n">
        <v>1</v>
      </c>
      <c r="E67" s="8" t="n">
        <v>65</v>
      </c>
      <c r="F67" s="8" t="n">
        <v>8</v>
      </c>
      <c r="G67" s="8" t="n">
        <v>4</v>
      </c>
      <c r="H67" s="8" t="n">
        <v>5</v>
      </c>
      <c r="I67" s="8"/>
      <c r="J67" s="8" t="n">
        <v>0</v>
      </c>
      <c r="K67" s="8" t="n">
        <v>2</v>
      </c>
      <c r="L67" s="8" t="s">
        <v>269</v>
      </c>
    </row>
    <row r="68" customFormat="false" ht="15" hidden="false" customHeight="false" outlineLevel="0" collapsed="false">
      <c r="A68" s="5" t="s">
        <v>46</v>
      </c>
      <c r="B68" s="5" t="s">
        <v>270</v>
      </c>
      <c r="C68" s="5" t="s">
        <v>271</v>
      </c>
      <c r="D68" s="6" t="n">
        <v>1</v>
      </c>
      <c r="E68" s="6" t="n">
        <v>50</v>
      </c>
      <c r="F68" s="6" t="n">
        <v>14</v>
      </c>
      <c r="G68" s="6" t="n">
        <v>10</v>
      </c>
      <c r="H68" s="6" t="n">
        <v>9</v>
      </c>
      <c r="I68" s="6" t="s">
        <v>182</v>
      </c>
      <c r="J68" s="6" t="n">
        <v>0</v>
      </c>
      <c r="K68" s="6" t="n">
        <v>2</v>
      </c>
      <c r="L68" s="6" t="s">
        <v>272</v>
      </c>
    </row>
    <row r="69" customFormat="false" ht="15" hidden="false" customHeight="false" outlineLevel="0" collapsed="false">
      <c r="A69" s="7" t="s">
        <v>46</v>
      </c>
      <c r="B69" s="7" t="s">
        <v>170</v>
      </c>
      <c r="C69" s="7" t="s">
        <v>171</v>
      </c>
      <c r="D69" s="8" t="n">
        <v>2</v>
      </c>
      <c r="E69" s="8" t="n">
        <v>30</v>
      </c>
      <c r="F69" s="8" t="n">
        <v>60</v>
      </c>
      <c r="G69" s="8" t="n">
        <v>3</v>
      </c>
      <c r="H69" s="8" t="n">
        <v>18</v>
      </c>
      <c r="I69" s="8" t="s">
        <v>73</v>
      </c>
      <c r="J69" s="8" t="n">
        <v>5</v>
      </c>
      <c r="K69" s="8" t="n">
        <v>2</v>
      </c>
      <c r="L69" s="8" t="s">
        <v>273</v>
      </c>
    </row>
    <row r="70" customFormat="false" ht="15" hidden="false" customHeight="false" outlineLevel="0" collapsed="false">
      <c r="A70" s="5" t="s">
        <v>46</v>
      </c>
      <c r="B70" s="5" t="s">
        <v>274</v>
      </c>
      <c r="C70" s="5" t="s">
        <v>275</v>
      </c>
      <c r="D70" s="6" t="n">
        <v>2</v>
      </c>
      <c r="E70" s="6" t="n">
        <v>25</v>
      </c>
      <c r="F70" s="6" t="n">
        <v>0</v>
      </c>
      <c r="G70" s="6" t="n">
        <v>35</v>
      </c>
      <c r="H70" s="6" t="n">
        <v>28</v>
      </c>
      <c r="I70" s="6" t="s">
        <v>73</v>
      </c>
      <c r="J70" s="6" t="n">
        <v>6</v>
      </c>
      <c r="K70" s="6" t="n">
        <v>1</v>
      </c>
      <c r="L70" s="6" t="s">
        <v>222</v>
      </c>
    </row>
    <row r="71" customFormat="false" ht="15" hidden="false" customHeight="false" outlineLevel="0" collapsed="false">
      <c r="A71" s="7" t="s">
        <v>46</v>
      </c>
      <c r="B71" s="7" t="s">
        <v>276</v>
      </c>
      <c r="C71" s="7" t="s">
        <v>277</v>
      </c>
      <c r="D71" s="8" t="n">
        <v>2</v>
      </c>
      <c r="E71" s="8" t="n">
        <v>35</v>
      </c>
      <c r="F71" s="8" t="n">
        <v>40</v>
      </c>
      <c r="G71" s="8" t="n">
        <v>4</v>
      </c>
      <c r="H71" s="8" t="n">
        <v>10</v>
      </c>
      <c r="I71" s="8" t="s">
        <v>278</v>
      </c>
      <c r="J71" s="8" t="n">
        <v>8</v>
      </c>
      <c r="K71" s="8" t="n">
        <v>2</v>
      </c>
      <c r="L71" s="8" t="s">
        <v>279</v>
      </c>
    </row>
    <row r="72" customFormat="false" ht="15" hidden="false" customHeight="false" outlineLevel="0" collapsed="false">
      <c r="A72" s="5" t="s">
        <v>48</v>
      </c>
      <c r="B72" s="5" t="s">
        <v>280</v>
      </c>
      <c r="C72" s="5" t="s">
        <v>281</v>
      </c>
      <c r="D72" s="6" t="n">
        <v>1</v>
      </c>
      <c r="E72" s="6" t="n">
        <v>6</v>
      </c>
      <c r="F72" s="6" t="n">
        <v>0</v>
      </c>
      <c r="G72" s="6" t="n">
        <v>12</v>
      </c>
      <c r="H72" s="6" t="n">
        <v>12</v>
      </c>
      <c r="I72" s="6" t="s">
        <v>282</v>
      </c>
      <c r="J72" s="6" t="n">
        <v>4</v>
      </c>
      <c r="K72" s="6" t="n">
        <v>2</v>
      </c>
      <c r="L72" s="6" t="s">
        <v>283</v>
      </c>
    </row>
    <row r="73" customFormat="false" ht="15" hidden="false" customHeight="false" outlineLevel="0" collapsed="false">
      <c r="A73" s="7" t="s">
        <v>48</v>
      </c>
      <c r="B73" s="7" t="s">
        <v>284</v>
      </c>
      <c r="C73" s="7" t="s">
        <v>285</v>
      </c>
      <c r="D73" s="8" t="n">
        <v>1</v>
      </c>
      <c r="E73" s="8" t="n">
        <v>40</v>
      </c>
      <c r="F73" s="8" t="n">
        <v>5</v>
      </c>
      <c r="G73" s="8" t="n">
        <v>2</v>
      </c>
      <c r="H73" s="8" t="n">
        <v>4</v>
      </c>
      <c r="I73" s="8" t="s">
        <v>178</v>
      </c>
      <c r="J73" s="8" t="n">
        <v>1</v>
      </c>
      <c r="K73" s="8" t="n">
        <v>2</v>
      </c>
      <c r="L73" s="8" t="s">
        <v>286</v>
      </c>
    </row>
    <row r="74" customFormat="false" ht="15" hidden="false" customHeight="false" outlineLevel="0" collapsed="false">
      <c r="A74" s="5" t="s">
        <v>48</v>
      </c>
      <c r="B74" s="5" t="s">
        <v>287</v>
      </c>
      <c r="C74" s="5" t="s">
        <v>288</v>
      </c>
      <c r="D74" s="6" t="n">
        <v>2</v>
      </c>
      <c r="E74" s="6" t="n">
        <v>8</v>
      </c>
      <c r="F74" s="6" t="n">
        <v>0</v>
      </c>
      <c r="G74" s="6" t="n">
        <v>24</v>
      </c>
      <c r="H74" s="6" t="n">
        <v>16</v>
      </c>
      <c r="I74" s="6" t="s">
        <v>289</v>
      </c>
      <c r="J74" s="6" t="n">
        <v>4</v>
      </c>
      <c r="K74" s="6" t="n">
        <v>2</v>
      </c>
      <c r="L74" s="6" t="s">
        <v>283</v>
      </c>
    </row>
    <row r="75" customFormat="false" ht="15" hidden="false" customHeight="false" outlineLevel="0" collapsed="false">
      <c r="A75" s="7" t="s">
        <v>48</v>
      </c>
      <c r="B75" s="7" t="s">
        <v>290</v>
      </c>
      <c r="C75" s="7" t="s">
        <v>291</v>
      </c>
      <c r="D75" s="8" t="n">
        <v>2</v>
      </c>
      <c r="E75" s="8" t="n">
        <v>15</v>
      </c>
      <c r="F75" s="8" t="n">
        <v>0</v>
      </c>
      <c r="G75" s="8" t="n">
        <v>20</v>
      </c>
      <c r="H75" s="8" t="n">
        <v>18</v>
      </c>
      <c r="I75" s="8" t="s">
        <v>292</v>
      </c>
      <c r="J75" s="8" t="n">
        <v>6</v>
      </c>
      <c r="K75" s="8" t="n">
        <v>1</v>
      </c>
      <c r="L75" s="8" t="s">
        <v>293</v>
      </c>
    </row>
    <row r="76" customFormat="false" ht="15" hidden="false" customHeight="false" outlineLevel="0" collapsed="false">
      <c r="A76" s="5" t="s">
        <v>48</v>
      </c>
      <c r="B76" s="5" t="s">
        <v>294</v>
      </c>
      <c r="C76" s="5" t="s">
        <v>295</v>
      </c>
      <c r="D76" s="6" t="n">
        <v>2</v>
      </c>
      <c r="E76" s="6" t="n">
        <v>0</v>
      </c>
      <c r="F76" s="6" t="n">
        <v>0</v>
      </c>
      <c r="G76" s="6" t="n">
        <v>0</v>
      </c>
      <c r="H76" s="6" t="n">
        <v>20</v>
      </c>
      <c r="I76" s="6" t="s">
        <v>296</v>
      </c>
      <c r="J76" s="6" t="n">
        <v>4</v>
      </c>
      <c r="K76" s="6" t="n">
        <v>1</v>
      </c>
      <c r="L76" s="6" t="s">
        <v>297</v>
      </c>
    </row>
    <row r="77" customFormat="false" ht="15" hidden="false" customHeight="false" outlineLevel="0" collapsed="false">
      <c r="A77" s="7" t="s">
        <v>48</v>
      </c>
      <c r="B77" s="7" t="s">
        <v>298</v>
      </c>
      <c r="C77" s="7" t="s">
        <v>299</v>
      </c>
      <c r="D77" s="8" t="n">
        <v>2</v>
      </c>
      <c r="E77" s="8" t="n">
        <v>0</v>
      </c>
      <c r="F77" s="8" t="n">
        <v>30</v>
      </c>
      <c r="G77" s="8" t="n">
        <v>0</v>
      </c>
      <c r="H77" s="8" t="n">
        <v>25</v>
      </c>
      <c r="I77" s="8" t="s">
        <v>300</v>
      </c>
      <c r="J77" s="8" t="n">
        <v>5</v>
      </c>
      <c r="K77" s="8" t="n">
        <v>1</v>
      </c>
      <c r="L77" s="8" t="s">
        <v>301</v>
      </c>
    </row>
    <row r="78" customFormat="false" ht="15" hidden="false" customHeight="false" outlineLevel="0" collapsed="false">
      <c r="A78" s="5" t="s">
        <v>50</v>
      </c>
      <c r="B78" s="5" t="s">
        <v>207</v>
      </c>
      <c r="C78" s="5" t="s">
        <v>208</v>
      </c>
      <c r="D78" s="6" t="n">
        <v>1</v>
      </c>
      <c r="E78" s="6" t="n">
        <v>45</v>
      </c>
      <c r="F78" s="6" t="n">
        <v>5</v>
      </c>
      <c r="G78" s="6" t="n">
        <v>3</v>
      </c>
      <c r="H78" s="6" t="n">
        <v>3</v>
      </c>
      <c r="I78" s="6"/>
      <c r="J78" s="6" t="n">
        <v>0</v>
      </c>
      <c r="K78" s="6" t="n">
        <v>3</v>
      </c>
      <c r="L78" s="6" t="s">
        <v>302</v>
      </c>
    </row>
    <row r="79" customFormat="false" ht="15" hidden="false" customHeight="false" outlineLevel="0" collapsed="false">
      <c r="A79" s="7" t="s">
        <v>50</v>
      </c>
      <c r="B79" s="7" t="s">
        <v>303</v>
      </c>
      <c r="C79" s="7" t="s">
        <v>304</v>
      </c>
      <c r="D79" s="8" t="n">
        <v>1</v>
      </c>
      <c r="E79" s="8" t="n">
        <v>30</v>
      </c>
      <c r="F79" s="8" t="n">
        <v>0</v>
      </c>
      <c r="G79" s="8" t="n">
        <v>10</v>
      </c>
      <c r="H79" s="8" t="n">
        <v>10</v>
      </c>
      <c r="I79" s="8" t="s">
        <v>305</v>
      </c>
      <c r="J79" s="8" t="n">
        <v>4</v>
      </c>
      <c r="K79" s="8" t="n">
        <v>2</v>
      </c>
      <c r="L79" s="8" t="s">
        <v>306</v>
      </c>
    </row>
    <row r="80" customFormat="false" ht="15" hidden="false" customHeight="false" outlineLevel="0" collapsed="false">
      <c r="A80" s="5" t="s">
        <v>50</v>
      </c>
      <c r="B80" s="5" t="s">
        <v>307</v>
      </c>
      <c r="C80" s="5" t="s">
        <v>308</v>
      </c>
      <c r="D80" s="6" t="n">
        <v>1</v>
      </c>
      <c r="E80" s="6" t="n">
        <v>0</v>
      </c>
      <c r="F80" s="6" t="n">
        <v>0</v>
      </c>
      <c r="G80" s="6" t="n">
        <v>0</v>
      </c>
      <c r="H80" s="6" t="n">
        <v>25</v>
      </c>
      <c r="I80" s="6" t="s">
        <v>110</v>
      </c>
      <c r="J80" s="6" t="n">
        <v>0</v>
      </c>
      <c r="K80" s="6" t="n">
        <v>1</v>
      </c>
      <c r="L80" s="6" t="s">
        <v>309</v>
      </c>
    </row>
    <row r="81" customFormat="false" ht="15" hidden="false" customHeight="false" outlineLevel="0" collapsed="false">
      <c r="A81" s="7" t="s">
        <v>50</v>
      </c>
      <c r="B81" s="7" t="s">
        <v>310</v>
      </c>
      <c r="C81" s="7" t="s">
        <v>311</v>
      </c>
      <c r="D81" s="8" t="n">
        <v>2</v>
      </c>
      <c r="E81" s="8" t="n">
        <v>30</v>
      </c>
      <c r="F81" s="8" t="n">
        <v>45</v>
      </c>
      <c r="G81" s="8" t="n">
        <v>1.5</v>
      </c>
      <c r="H81" s="8" t="n">
        <v>10</v>
      </c>
      <c r="I81" s="8" t="s">
        <v>255</v>
      </c>
      <c r="J81" s="8" t="n">
        <v>0</v>
      </c>
      <c r="K81" s="8" t="n">
        <v>2</v>
      </c>
      <c r="L81" s="8" t="s">
        <v>312</v>
      </c>
    </row>
    <row r="82" customFormat="false" ht="15" hidden="false" customHeight="false" outlineLevel="0" collapsed="false">
      <c r="A82" s="5" t="s">
        <v>50</v>
      </c>
      <c r="B82" s="5" t="s">
        <v>313</v>
      </c>
      <c r="C82" s="5" t="s">
        <v>314</v>
      </c>
      <c r="D82" s="6" t="n">
        <v>2</v>
      </c>
      <c r="E82" s="6" t="n">
        <v>0</v>
      </c>
      <c r="F82" s="6" t="n">
        <v>30</v>
      </c>
      <c r="G82" s="6" t="n">
        <v>0</v>
      </c>
      <c r="H82" s="6" t="n">
        <v>15</v>
      </c>
      <c r="I82" s="6" t="s">
        <v>162</v>
      </c>
      <c r="J82" s="6" t="n">
        <v>0</v>
      </c>
      <c r="K82" s="6" t="n">
        <v>1</v>
      </c>
      <c r="L82" s="6" t="s">
        <v>315</v>
      </c>
    </row>
    <row r="83" customFormat="false" ht="15" hidden="false" customHeight="false" outlineLevel="0" collapsed="false">
      <c r="A83" s="7" t="s">
        <v>52</v>
      </c>
      <c r="B83" s="7" t="s">
        <v>316</v>
      </c>
      <c r="C83" s="7" t="s">
        <v>317</v>
      </c>
      <c r="D83" s="8" t="n">
        <v>1</v>
      </c>
      <c r="E83" s="8" t="n">
        <v>40</v>
      </c>
      <c r="F83" s="8" t="n">
        <v>4</v>
      </c>
      <c r="G83" s="8" t="n">
        <v>2</v>
      </c>
      <c r="H83" s="8" t="n">
        <v>2</v>
      </c>
      <c r="I83" s="8" t="s">
        <v>318</v>
      </c>
      <c r="J83" s="8" t="n">
        <v>0</v>
      </c>
      <c r="K83" s="8" t="n">
        <v>3</v>
      </c>
      <c r="L83" s="8" t="s">
        <v>319</v>
      </c>
    </row>
    <row r="84" customFormat="false" ht="15" hidden="false" customHeight="false" outlineLevel="0" collapsed="false">
      <c r="A84" s="5" t="s">
        <v>52</v>
      </c>
      <c r="B84" s="5" t="s">
        <v>147</v>
      </c>
      <c r="C84" s="5" t="s">
        <v>148</v>
      </c>
      <c r="D84" s="6" t="n">
        <v>1</v>
      </c>
      <c r="E84" s="6" t="n">
        <v>50</v>
      </c>
      <c r="F84" s="6" t="n">
        <v>20</v>
      </c>
      <c r="G84" s="6" t="n">
        <v>3</v>
      </c>
      <c r="H84" s="6" t="n">
        <v>10</v>
      </c>
      <c r="I84" s="6"/>
      <c r="J84" s="6" t="n">
        <v>0</v>
      </c>
      <c r="K84" s="6" t="n">
        <v>2</v>
      </c>
      <c r="L84" s="6" t="s">
        <v>149</v>
      </c>
    </row>
    <row r="85" customFormat="false" ht="15" hidden="false" customHeight="false" outlineLevel="0" collapsed="false">
      <c r="A85" s="7" t="s">
        <v>52</v>
      </c>
      <c r="B85" s="7" t="s">
        <v>195</v>
      </c>
      <c r="C85" s="7" t="s">
        <v>196</v>
      </c>
      <c r="D85" s="8" t="n">
        <v>2</v>
      </c>
      <c r="E85" s="8" t="n">
        <v>55</v>
      </c>
      <c r="F85" s="8" t="n">
        <v>0</v>
      </c>
      <c r="G85" s="8" t="n">
        <v>0</v>
      </c>
      <c r="H85" s="8" t="n">
        <v>14</v>
      </c>
      <c r="I85" s="8" t="s">
        <v>320</v>
      </c>
      <c r="J85" s="8" t="n">
        <v>0</v>
      </c>
      <c r="K85" s="8" t="n">
        <v>2</v>
      </c>
      <c r="L85" s="8" t="s">
        <v>321</v>
      </c>
    </row>
    <row r="86" customFormat="false" ht="15" hidden="false" customHeight="false" outlineLevel="0" collapsed="false">
      <c r="A86" s="5" t="s">
        <v>52</v>
      </c>
      <c r="B86" s="5" t="s">
        <v>322</v>
      </c>
      <c r="C86" s="5" t="s">
        <v>323</v>
      </c>
      <c r="D86" s="6" t="n">
        <v>2</v>
      </c>
      <c r="E86" s="6" t="n">
        <v>8</v>
      </c>
      <c r="F86" s="6" t="n">
        <v>10</v>
      </c>
      <c r="G86" s="6" t="n">
        <v>5</v>
      </c>
      <c r="H86" s="6" t="n">
        <v>14</v>
      </c>
      <c r="I86" s="6" t="s">
        <v>117</v>
      </c>
      <c r="J86" s="6" t="n">
        <v>8</v>
      </c>
      <c r="K86" s="6" t="n">
        <v>1</v>
      </c>
      <c r="L86" s="6" t="s">
        <v>324</v>
      </c>
    </row>
    <row r="87" customFormat="false" ht="15" hidden="false" customHeight="false" outlineLevel="0" collapsed="false">
      <c r="A87" s="7" t="s">
        <v>54</v>
      </c>
      <c r="B87" s="7" t="s">
        <v>325</v>
      </c>
      <c r="C87" s="7" t="s">
        <v>326</v>
      </c>
      <c r="D87" s="8" t="n">
        <v>1</v>
      </c>
      <c r="E87" s="8" t="n">
        <v>0</v>
      </c>
      <c r="F87" s="8" t="n">
        <v>0</v>
      </c>
      <c r="G87" s="8" t="n">
        <v>0</v>
      </c>
      <c r="H87" s="8" t="n">
        <v>0</v>
      </c>
      <c r="I87" s="8"/>
      <c r="J87" s="8" t="n">
        <v>0</v>
      </c>
      <c r="K87" s="8" t="n">
        <v>1</v>
      </c>
      <c r="L87" s="8" t="s">
        <v>327</v>
      </c>
    </row>
    <row r="88" customFormat="false" ht="15" hidden="false" customHeight="false" outlineLevel="0" collapsed="false">
      <c r="A88" s="5" t="s">
        <v>54</v>
      </c>
      <c r="B88" s="5" t="s">
        <v>328</v>
      </c>
      <c r="C88" s="5" t="s">
        <v>329</v>
      </c>
      <c r="D88" s="6" t="n">
        <v>1</v>
      </c>
      <c r="E88" s="6" t="n">
        <v>70</v>
      </c>
      <c r="F88" s="6" t="n">
        <v>12</v>
      </c>
      <c r="G88" s="6" t="n">
        <v>6</v>
      </c>
      <c r="H88" s="6" t="n">
        <v>8</v>
      </c>
      <c r="I88" s="6" t="s">
        <v>182</v>
      </c>
      <c r="J88" s="6" t="n">
        <v>0</v>
      </c>
      <c r="K88" s="6" t="n">
        <v>2</v>
      </c>
      <c r="L88" s="6" t="s">
        <v>330</v>
      </c>
    </row>
    <row r="89" customFormat="false" ht="15" hidden="false" customHeight="false" outlineLevel="0" collapsed="false">
      <c r="A89" s="7" t="s">
        <v>54</v>
      </c>
      <c r="B89" s="7" t="s">
        <v>331</v>
      </c>
      <c r="C89" s="7" t="s">
        <v>332</v>
      </c>
      <c r="D89" s="8" t="n">
        <v>1</v>
      </c>
      <c r="E89" s="8" t="n">
        <v>40</v>
      </c>
      <c r="F89" s="8" t="n">
        <v>30</v>
      </c>
      <c r="G89" s="8" t="n">
        <v>10</v>
      </c>
      <c r="H89" s="8" t="n">
        <v>14</v>
      </c>
      <c r="I89" s="8" t="s">
        <v>242</v>
      </c>
      <c r="J89" s="8" t="n">
        <v>0</v>
      </c>
      <c r="K89" s="8" t="n">
        <v>2</v>
      </c>
      <c r="L89" s="8" t="s">
        <v>333</v>
      </c>
    </row>
    <row r="90" customFormat="false" ht="15" hidden="false" customHeight="false" outlineLevel="0" collapsed="false">
      <c r="A90" s="5" t="s">
        <v>54</v>
      </c>
      <c r="B90" s="5" t="s">
        <v>334</v>
      </c>
      <c r="C90" s="5" t="s">
        <v>335</v>
      </c>
      <c r="D90" s="6" t="n">
        <v>2</v>
      </c>
      <c r="E90" s="6" t="n">
        <v>90</v>
      </c>
      <c r="F90" s="6" t="n">
        <v>0</v>
      </c>
      <c r="G90" s="6" t="n">
        <v>14</v>
      </c>
      <c r="H90" s="6" t="n">
        <v>20</v>
      </c>
      <c r="I90" s="6" t="s">
        <v>336</v>
      </c>
      <c r="J90" s="6" t="n">
        <v>0</v>
      </c>
      <c r="K90" s="6" t="n">
        <v>2</v>
      </c>
      <c r="L90" s="6" t="s">
        <v>337</v>
      </c>
    </row>
    <row r="91" customFormat="false" ht="15" hidden="false" customHeight="false" outlineLevel="0" collapsed="false">
      <c r="A91" s="7" t="s">
        <v>54</v>
      </c>
      <c r="B91" s="7" t="s">
        <v>338</v>
      </c>
      <c r="C91" s="7" t="s">
        <v>339</v>
      </c>
      <c r="D91" s="8" t="n">
        <v>2</v>
      </c>
      <c r="E91" s="8" t="n">
        <v>0</v>
      </c>
      <c r="F91" s="8" t="n">
        <v>0</v>
      </c>
      <c r="G91" s="8" t="n">
        <v>40</v>
      </c>
      <c r="H91" s="8" t="n">
        <v>25</v>
      </c>
      <c r="I91" s="8" t="s">
        <v>340</v>
      </c>
      <c r="J91" s="8" t="n">
        <v>3</v>
      </c>
      <c r="K91" s="8" t="n">
        <v>1</v>
      </c>
      <c r="L91" s="8" t="s">
        <v>341</v>
      </c>
    </row>
    <row r="92" customFormat="false" ht="15" hidden="false" customHeight="false" outlineLevel="0" collapsed="false">
      <c r="A92" s="5" t="s">
        <v>54</v>
      </c>
      <c r="B92" s="5" t="s">
        <v>342</v>
      </c>
      <c r="C92" s="5" t="s">
        <v>343</v>
      </c>
      <c r="D92" s="6" t="n">
        <v>2</v>
      </c>
      <c r="E92" s="6" t="n">
        <v>35</v>
      </c>
      <c r="F92" s="6" t="n">
        <v>20</v>
      </c>
      <c r="G92" s="6" t="n">
        <v>5</v>
      </c>
      <c r="H92" s="6" t="n">
        <v>14</v>
      </c>
      <c r="I92" s="6" t="s">
        <v>344</v>
      </c>
      <c r="J92" s="6" t="n">
        <v>0</v>
      </c>
      <c r="K92" s="6" t="n">
        <v>2</v>
      </c>
      <c r="L92" s="6" t="s">
        <v>345</v>
      </c>
    </row>
    <row r="94" customFormat="false" ht="15" hidden="false" customHeight="false" outlineLevel="0" collapsed="false">
      <c r="A94" s="9" t="s">
        <v>346</v>
      </c>
    </row>
  </sheetData>
  <autoFilter ref="A1:L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30"/>
    <col collapsed="false" customWidth="true" hidden="false" outlineLevel="0" max="11" min="10" style="0" width="14"/>
  </cols>
  <sheetData>
    <row r="1" customFormat="false" ht="33.75" hidden="false" customHeight="true" outlineLevel="0" collapsed="false">
      <c r="A1" s="4" t="s">
        <v>57</v>
      </c>
      <c r="B1" s="4" t="s">
        <v>347</v>
      </c>
      <c r="C1" s="4" t="s">
        <v>348</v>
      </c>
      <c r="D1" s="4" t="s">
        <v>349</v>
      </c>
      <c r="E1" s="4" t="s">
        <v>350</v>
      </c>
      <c r="F1" s="4" t="s">
        <v>23</v>
      </c>
      <c r="G1" s="4" t="s">
        <v>351</v>
      </c>
      <c r="H1" s="4" t="s">
        <v>352</v>
      </c>
      <c r="I1" s="4" t="s">
        <v>353</v>
      </c>
      <c r="J1" s="4" t="s">
        <v>354</v>
      </c>
      <c r="K1" s="4" t="s">
        <v>355</v>
      </c>
    </row>
    <row r="2" customFormat="false" ht="15" hidden="false" customHeight="false" outlineLevel="0" collapsed="false">
      <c r="A2" s="5" t="s">
        <v>34</v>
      </c>
      <c r="B2" s="5" t="s">
        <v>356</v>
      </c>
      <c r="C2" s="5" t="s">
        <v>357</v>
      </c>
      <c r="D2" s="6" t="n">
        <v>60</v>
      </c>
      <c r="E2" s="6" t="n">
        <v>10</v>
      </c>
      <c r="F2" s="6" t="n">
        <v>0.35</v>
      </c>
      <c r="G2" s="6" t="n">
        <v>3</v>
      </c>
      <c r="H2" s="6" t="n">
        <v>3</v>
      </c>
      <c r="I2" s="6" t="s">
        <v>358</v>
      </c>
      <c r="J2" s="6" t="n">
        <v>2</v>
      </c>
      <c r="K2" s="6" t="n">
        <v>3</v>
      </c>
    </row>
    <row r="3" customFormat="false" ht="15" hidden="false" customHeight="false" outlineLevel="0" collapsed="false">
      <c r="A3" s="7" t="s">
        <v>36</v>
      </c>
      <c r="B3" s="7" t="s">
        <v>359</v>
      </c>
      <c r="C3" s="7" t="s">
        <v>360</v>
      </c>
      <c r="D3" s="8" t="n">
        <v>80</v>
      </c>
      <c r="E3" s="8" t="n">
        <v>12</v>
      </c>
      <c r="F3" s="8" t="n">
        <v>0.32</v>
      </c>
      <c r="G3" s="8" t="n">
        <v>4</v>
      </c>
      <c r="H3" s="8" t="n">
        <v>4</v>
      </c>
      <c r="I3" s="8" t="s">
        <v>361</v>
      </c>
      <c r="J3" s="8" t="n">
        <v>2</v>
      </c>
      <c r="K3" s="8" t="n">
        <v>3</v>
      </c>
    </row>
    <row r="4" customFormat="false" ht="15" hidden="false" customHeight="false" outlineLevel="0" collapsed="false">
      <c r="A4" s="5" t="s">
        <v>38</v>
      </c>
      <c r="B4" s="5" t="s">
        <v>362</v>
      </c>
      <c r="C4" s="5" t="s">
        <v>363</v>
      </c>
      <c r="D4" s="6" t="n">
        <v>70</v>
      </c>
      <c r="E4" s="6" t="n">
        <v>10</v>
      </c>
      <c r="F4" s="6" t="n">
        <v>0.3</v>
      </c>
      <c r="G4" s="6" t="n">
        <v>2</v>
      </c>
      <c r="H4" s="6" t="n">
        <v>4</v>
      </c>
      <c r="I4" s="6"/>
      <c r="J4" s="6" t="n">
        <v>2</v>
      </c>
      <c r="K4" s="6" t="n">
        <v>3</v>
      </c>
    </row>
    <row r="5" customFormat="false" ht="15" hidden="false" customHeight="false" outlineLevel="0" collapsed="false">
      <c r="A5" s="7" t="s">
        <v>42</v>
      </c>
      <c r="B5" s="7" t="s">
        <v>364</v>
      </c>
      <c r="C5" s="7" t="s">
        <v>365</v>
      </c>
      <c r="D5" s="8" t="n">
        <v>50</v>
      </c>
      <c r="E5" s="8" t="n">
        <v>8</v>
      </c>
      <c r="F5" s="8" t="n">
        <v>0.36</v>
      </c>
      <c r="G5" s="8" t="n">
        <v>1</v>
      </c>
      <c r="H5" s="8" t="n">
        <v>5</v>
      </c>
      <c r="I5" s="8"/>
      <c r="J5" s="8" t="n">
        <v>2</v>
      </c>
      <c r="K5" s="8" t="n">
        <v>3</v>
      </c>
    </row>
    <row r="6" customFormat="false" ht="15" hidden="false" customHeight="false" outlineLevel="0" collapsed="false">
      <c r="A6" s="5" t="s">
        <v>42</v>
      </c>
      <c r="B6" s="5" t="s">
        <v>366</v>
      </c>
      <c r="C6" s="5" t="s">
        <v>367</v>
      </c>
      <c r="D6" s="6" t="n">
        <v>160</v>
      </c>
      <c r="E6" s="6" t="n">
        <v>14</v>
      </c>
      <c r="F6" s="6" t="n">
        <v>0.2</v>
      </c>
      <c r="G6" s="6" t="n">
        <v>1</v>
      </c>
      <c r="H6" s="6" t="n">
        <v>5</v>
      </c>
      <c r="I6" s="6" t="s">
        <v>368</v>
      </c>
      <c r="J6" s="6" t="n">
        <v>2</v>
      </c>
      <c r="K6" s="6" t="n">
        <v>3</v>
      </c>
    </row>
    <row r="7" customFormat="false" ht="15" hidden="false" customHeight="false" outlineLevel="0" collapsed="false">
      <c r="A7" s="7" t="s">
        <v>42</v>
      </c>
      <c r="B7" s="7" t="s">
        <v>369</v>
      </c>
      <c r="C7" s="7" t="s">
        <v>370</v>
      </c>
      <c r="D7" s="8" t="n">
        <v>70</v>
      </c>
      <c r="E7" s="8" t="n">
        <v>10</v>
      </c>
      <c r="F7" s="8" t="n">
        <v>0.25</v>
      </c>
      <c r="G7" s="8" t="n">
        <v>1</v>
      </c>
      <c r="H7" s="8" t="n">
        <v>5</v>
      </c>
      <c r="I7" s="8" t="s">
        <v>371</v>
      </c>
      <c r="J7" s="8" t="n">
        <v>2</v>
      </c>
      <c r="K7" s="8" t="n">
        <v>3</v>
      </c>
    </row>
    <row r="8" customFormat="false" ht="15" hidden="false" customHeight="false" outlineLevel="0" collapsed="false">
      <c r="A8" s="5" t="s">
        <v>50</v>
      </c>
      <c r="B8" s="5" t="s">
        <v>372</v>
      </c>
      <c r="C8" s="5" t="s">
        <v>373</v>
      </c>
      <c r="D8" s="6" t="n">
        <v>80</v>
      </c>
      <c r="E8" s="6" t="n">
        <v>12</v>
      </c>
      <c r="F8" s="6" t="n">
        <v>0.25</v>
      </c>
      <c r="G8" s="6" t="n">
        <v>3</v>
      </c>
      <c r="H8" s="6" t="n">
        <v>3</v>
      </c>
      <c r="I8" s="6" t="s">
        <v>374</v>
      </c>
      <c r="J8" s="6" t="n">
        <v>2</v>
      </c>
      <c r="K8" s="6" t="n">
        <v>3</v>
      </c>
    </row>
    <row r="10" customFormat="false" ht="15" hidden="false" customHeight="false" outlineLevel="0" collapsed="false">
      <c r="A10" s="9" t="s">
        <v>375</v>
      </c>
    </row>
  </sheetData>
  <autoFilter ref="A1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7" min="6" style="0" width="14"/>
    <col collapsed="false" customWidth="true" hidden="false" outlineLevel="0" max="8" min="8" style="0" width="32"/>
  </cols>
  <sheetData>
    <row r="1" customFormat="false" ht="33.75" hidden="false" customHeight="true" outlineLevel="0" collapsed="false">
      <c r="A1" s="4" t="s">
        <v>57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  <c r="H1" s="4" t="s">
        <v>382</v>
      </c>
    </row>
    <row r="2" customFormat="false" ht="15" hidden="false" customHeight="false" outlineLevel="0" collapsed="false">
      <c r="A2" s="5" t="s">
        <v>32</v>
      </c>
      <c r="B2" s="5" t="s">
        <v>383</v>
      </c>
      <c r="C2" s="5" t="s">
        <v>384</v>
      </c>
      <c r="D2" s="6" t="n">
        <v>30</v>
      </c>
      <c r="E2" s="6" t="n">
        <v>90</v>
      </c>
      <c r="F2" s="6" t="n">
        <v>40</v>
      </c>
      <c r="G2" s="6" t="n">
        <v>60</v>
      </c>
      <c r="H2" s="6" t="s">
        <v>385</v>
      </c>
    </row>
    <row r="3" customFormat="false" ht="15" hidden="false" customHeight="false" outlineLevel="0" collapsed="false">
      <c r="A3" s="7" t="s">
        <v>34</v>
      </c>
      <c r="B3" s="7" t="s">
        <v>386</v>
      </c>
      <c r="C3" s="7" t="s">
        <v>387</v>
      </c>
      <c r="D3" s="8" t="n">
        <v>30</v>
      </c>
      <c r="E3" s="8" t="n">
        <v>90</v>
      </c>
      <c r="F3" s="8" t="n">
        <v>40</v>
      </c>
      <c r="G3" s="8" t="n">
        <v>60</v>
      </c>
      <c r="H3" s="8" t="s">
        <v>388</v>
      </c>
    </row>
    <row r="4" customFormat="false" ht="15" hidden="false" customHeight="false" outlineLevel="0" collapsed="false">
      <c r="A4" s="5" t="s">
        <v>36</v>
      </c>
      <c r="B4" s="5" t="s">
        <v>389</v>
      </c>
      <c r="C4" s="5" t="s">
        <v>390</v>
      </c>
      <c r="D4" s="6" t="n">
        <v>30</v>
      </c>
      <c r="E4" s="6" t="n">
        <v>90</v>
      </c>
      <c r="F4" s="6" t="n">
        <v>40</v>
      </c>
      <c r="G4" s="6" t="n">
        <v>60</v>
      </c>
      <c r="H4" s="6" t="s">
        <v>391</v>
      </c>
    </row>
    <row r="5" customFormat="false" ht="15" hidden="false" customHeight="false" outlineLevel="0" collapsed="false">
      <c r="A5" s="7" t="s">
        <v>38</v>
      </c>
      <c r="B5" s="7" t="s">
        <v>392</v>
      </c>
      <c r="C5" s="7" t="s">
        <v>393</v>
      </c>
      <c r="D5" s="8" t="n">
        <v>30</v>
      </c>
      <c r="E5" s="8" t="n">
        <v>90</v>
      </c>
      <c r="F5" s="8" t="n">
        <v>40</v>
      </c>
      <c r="G5" s="8" t="n">
        <v>60</v>
      </c>
      <c r="H5" s="8" t="s">
        <v>394</v>
      </c>
    </row>
    <row r="6" customFormat="false" ht="15" hidden="false" customHeight="false" outlineLevel="0" collapsed="false">
      <c r="A6" s="5" t="s">
        <v>40</v>
      </c>
      <c r="B6" s="5" t="s">
        <v>395</v>
      </c>
      <c r="C6" s="5" t="s">
        <v>396</v>
      </c>
      <c r="D6" s="6" t="n">
        <v>30</v>
      </c>
      <c r="E6" s="6" t="n">
        <v>90</v>
      </c>
      <c r="F6" s="6" t="n">
        <v>40</v>
      </c>
      <c r="G6" s="6" t="n">
        <v>60</v>
      </c>
      <c r="H6" s="6" t="s">
        <v>397</v>
      </c>
    </row>
    <row r="7" customFormat="false" ht="15" hidden="false" customHeight="false" outlineLevel="0" collapsed="false">
      <c r="A7" s="7" t="s">
        <v>42</v>
      </c>
      <c r="B7" s="7" t="s">
        <v>398</v>
      </c>
      <c r="C7" s="7" t="s">
        <v>399</v>
      </c>
      <c r="D7" s="8" t="n">
        <v>30</v>
      </c>
      <c r="E7" s="8" t="n">
        <v>90</v>
      </c>
      <c r="F7" s="8" t="n">
        <v>40</v>
      </c>
      <c r="G7" s="8" t="n">
        <v>60</v>
      </c>
      <c r="H7" s="8" t="s">
        <v>400</v>
      </c>
    </row>
    <row r="8" customFormat="false" ht="15" hidden="false" customHeight="false" outlineLevel="0" collapsed="false">
      <c r="A8" s="5" t="s">
        <v>44</v>
      </c>
      <c r="B8" s="5" t="s">
        <v>401</v>
      </c>
      <c r="C8" s="5" t="s">
        <v>402</v>
      </c>
      <c r="D8" s="6" t="n">
        <v>30</v>
      </c>
      <c r="E8" s="6" t="n">
        <v>90</v>
      </c>
      <c r="F8" s="6" t="n">
        <v>40</v>
      </c>
      <c r="G8" s="6" t="n">
        <v>60</v>
      </c>
      <c r="H8" s="6" t="s">
        <v>403</v>
      </c>
    </row>
    <row r="9" customFormat="false" ht="15" hidden="false" customHeight="false" outlineLevel="0" collapsed="false">
      <c r="A9" s="7" t="s">
        <v>46</v>
      </c>
      <c r="B9" s="7" t="s">
        <v>404</v>
      </c>
      <c r="C9" s="7" t="s">
        <v>405</v>
      </c>
      <c r="D9" s="8" t="n">
        <v>30</v>
      </c>
      <c r="E9" s="8" t="n">
        <v>90</v>
      </c>
      <c r="F9" s="8" t="n">
        <v>40</v>
      </c>
      <c r="G9" s="8" t="n">
        <v>60</v>
      </c>
      <c r="H9" s="8" t="s">
        <v>406</v>
      </c>
    </row>
    <row r="10" customFormat="false" ht="15" hidden="false" customHeight="false" outlineLevel="0" collapsed="false">
      <c r="A10" s="5" t="s">
        <v>48</v>
      </c>
      <c r="B10" s="5" t="s">
        <v>407</v>
      </c>
      <c r="C10" s="5" t="s">
        <v>408</v>
      </c>
      <c r="D10" s="6" t="n">
        <v>30</v>
      </c>
      <c r="E10" s="6" t="n">
        <v>90</v>
      </c>
      <c r="F10" s="6" t="n">
        <v>40</v>
      </c>
      <c r="G10" s="6" t="n">
        <v>60</v>
      </c>
      <c r="H10" s="6" t="s">
        <v>409</v>
      </c>
    </row>
    <row r="11" customFormat="false" ht="15" hidden="false" customHeight="false" outlineLevel="0" collapsed="false">
      <c r="A11" s="7" t="s">
        <v>50</v>
      </c>
      <c r="B11" s="7" t="s">
        <v>410</v>
      </c>
      <c r="C11" s="7" t="s">
        <v>411</v>
      </c>
      <c r="D11" s="8" t="n">
        <v>30</v>
      </c>
      <c r="E11" s="8" t="n">
        <v>90</v>
      </c>
      <c r="F11" s="8" t="n">
        <v>40</v>
      </c>
      <c r="G11" s="8" t="n">
        <v>60</v>
      </c>
      <c r="H11" s="8" t="s">
        <v>403</v>
      </c>
    </row>
    <row r="12" customFormat="false" ht="15" hidden="false" customHeight="false" outlineLevel="0" collapsed="false">
      <c r="A12" s="5" t="s">
        <v>52</v>
      </c>
      <c r="B12" s="5" t="s">
        <v>412</v>
      </c>
      <c r="C12" s="5" t="s">
        <v>413</v>
      </c>
      <c r="D12" s="6" t="n">
        <v>30</v>
      </c>
      <c r="E12" s="6" t="n">
        <v>90</v>
      </c>
      <c r="F12" s="6" t="n">
        <v>40</v>
      </c>
      <c r="G12" s="6" t="n">
        <v>60</v>
      </c>
      <c r="H12" s="6" t="s">
        <v>414</v>
      </c>
    </row>
    <row r="13" customFormat="false" ht="15" hidden="false" customHeight="false" outlineLevel="0" collapsed="false">
      <c r="A13" s="7" t="s">
        <v>54</v>
      </c>
      <c r="B13" s="7" t="s">
        <v>415</v>
      </c>
      <c r="C13" s="7" t="s">
        <v>416</v>
      </c>
      <c r="D13" s="8" t="n">
        <v>30</v>
      </c>
      <c r="E13" s="8" t="n">
        <v>90</v>
      </c>
      <c r="F13" s="8" t="n">
        <v>40</v>
      </c>
      <c r="G13" s="8" t="n">
        <v>60</v>
      </c>
      <c r="H13" s="8" t="s">
        <v>417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4" t="s">
        <v>57</v>
      </c>
      <c r="B1" s="4" t="s">
        <v>418</v>
      </c>
      <c r="C1" s="4" t="s">
        <v>419</v>
      </c>
      <c r="D1" s="4" t="s">
        <v>420</v>
      </c>
      <c r="E1" s="4" t="s">
        <v>421</v>
      </c>
      <c r="F1" s="4" t="s">
        <v>422</v>
      </c>
      <c r="G1" s="4" t="s">
        <v>423</v>
      </c>
    </row>
    <row r="2" customFormat="false" ht="15" hidden="false" customHeight="false" outlineLevel="0" collapsed="false">
      <c r="A2" s="5" t="s">
        <v>32</v>
      </c>
      <c r="B2" s="5" t="s">
        <v>424</v>
      </c>
      <c r="C2" s="5" t="s">
        <v>425</v>
      </c>
      <c r="D2" s="6" t="n">
        <v>1</v>
      </c>
      <c r="E2" s="6" t="n">
        <v>2</v>
      </c>
      <c r="F2" s="10" t="n">
        <v>1</v>
      </c>
      <c r="G2" s="11" t="n">
        <f aca="false">(D2+E2)/2*F2</f>
        <v>1.5</v>
      </c>
    </row>
    <row r="3" customFormat="false" ht="15" hidden="false" customHeight="false" outlineLevel="0" collapsed="false">
      <c r="A3" s="7" t="s">
        <v>34</v>
      </c>
      <c r="B3" s="7" t="s">
        <v>426</v>
      </c>
      <c r="C3" s="7" t="s">
        <v>427</v>
      </c>
      <c r="D3" s="8" t="n">
        <v>1</v>
      </c>
      <c r="E3" s="8" t="n">
        <v>2</v>
      </c>
      <c r="F3" s="12" t="n">
        <v>1</v>
      </c>
      <c r="G3" s="13" t="n">
        <f aca="false">(D3+E3)/2*F3</f>
        <v>1.5</v>
      </c>
    </row>
    <row r="4" customFormat="false" ht="15" hidden="false" customHeight="false" outlineLevel="0" collapsed="false">
      <c r="A4" s="5" t="s">
        <v>34</v>
      </c>
      <c r="B4" s="5" t="s">
        <v>428</v>
      </c>
      <c r="C4" s="5" t="s">
        <v>429</v>
      </c>
      <c r="D4" s="6" t="n">
        <v>2</v>
      </c>
      <c r="E4" s="6" t="n">
        <v>4</v>
      </c>
      <c r="F4" s="10" t="n">
        <v>1</v>
      </c>
      <c r="G4" s="11" t="n">
        <f aca="false">(D4+E4)/2*F4</f>
        <v>3</v>
      </c>
    </row>
    <row r="5" customFormat="false" ht="15" hidden="false" customHeight="false" outlineLevel="0" collapsed="false">
      <c r="A5" s="7" t="s">
        <v>34</v>
      </c>
      <c r="B5" s="7" t="s">
        <v>430</v>
      </c>
      <c r="C5" s="7" t="s">
        <v>431</v>
      </c>
      <c r="D5" s="8" t="n">
        <v>3</v>
      </c>
      <c r="E5" s="8" t="n">
        <v>6</v>
      </c>
      <c r="F5" s="12" t="n">
        <v>1</v>
      </c>
      <c r="G5" s="13" t="n">
        <f aca="false">(D5+E5)/2*F5</f>
        <v>4.5</v>
      </c>
    </row>
    <row r="6" customFormat="false" ht="15" hidden="false" customHeight="false" outlineLevel="0" collapsed="false">
      <c r="A6" s="5" t="s">
        <v>36</v>
      </c>
      <c r="B6" s="5" t="s">
        <v>432</v>
      </c>
      <c r="C6" s="5" t="s">
        <v>433</v>
      </c>
      <c r="D6" s="6" t="n">
        <v>2</v>
      </c>
      <c r="E6" s="6" t="n">
        <v>4</v>
      </c>
      <c r="F6" s="10" t="n">
        <v>1</v>
      </c>
      <c r="G6" s="11" t="n">
        <f aca="false">(D6+E6)/2*F6</f>
        <v>3</v>
      </c>
    </row>
    <row r="7" customFormat="false" ht="15" hidden="false" customHeight="false" outlineLevel="0" collapsed="false">
      <c r="A7" s="7" t="s">
        <v>38</v>
      </c>
      <c r="B7" s="7" t="s">
        <v>434</v>
      </c>
      <c r="C7" s="7" t="s">
        <v>435</v>
      </c>
      <c r="D7" s="8" t="n">
        <v>1</v>
      </c>
      <c r="E7" s="8" t="n">
        <v>3</v>
      </c>
      <c r="F7" s="12" t="n">
        <v>1</v>
      </c>
      <c r="G7" s="13" t="n">
        <f aca="false">(D7+E7)/2*F7</f>
        <v>2</v>
      </c>
    </row>
    <row r="8" customFormat="false" ht="15" hidden="false" customHeight="false" outlineLevel="0" collapsed="false">
      <c r="A8" s="5" t="s">
        <v>38</v>
      </c>
      <c r="B8" s="5" t="s">
        <v>436</v>
      </c>
      <c r="C8" s="5" t="s">
        <v>437</v>
      </c>
      <c r="D8" s="6" t="n">
        <v>2</v>
      </c>
      <c r="E8" s="6" t="n">
        <v>4</v>
      </c>
      <c r="F8" s="10" t="n">
        <v>1</v>
      </c>
      <c r="G8" s="11" t="n">
        <f aca="false">(D8+E8)/2*F8</f>
        <v>3</v>
      </c>
    </row>
    <row r="9" customFormat="false" ht="15" hidden="false" customHeight="false" outlineLevel="0" collapsed="false">
      <c r="A9" s="7" t="s">
        <v>40</v>
      </c>
      <c r="B9" s="7" t="s">
        <v>438</v>
      </c>
      <c r="C9" s="7" t="s">
        <v>439</v>
      </c>
      <c r="D9" s="8" t="n">
        <v>1</v>
      </c>
      <c r="E9" s="8" t="n">
        <v>3</v>
      </c>
      <c r="F9" s="12" t="n">
        <v>1</v>
      </c>
      <c r="G9" s="13" t="n">
        <f aca="false">(D9+E9)/2*F9</f>
        <v>2</v>
      </c>
    </row>
    <row r="10" customFormat="false" ht="15" hidden="false" customHeight="false" outlineLevel="0" collapsed="false">
      <c r="A10" s="5" t="s">
        <v>40</v>
      </c>
      <c r="B10" s="5" t="s">
        <v>440</v>
      </c>
      <c r="C10" s="5" t="s">
        <v>441</v>
      </c>
      <c r="D10" s="6" t="n">
        <v>2</v>
      </c>
      <c r="E10" s="6" t="n">
        <v>4</v>
      </c>
      <c r="F10" s="10" t="n">
        <v>1</v>
      </c>
      <c r="G10" s="11" t="n">
        <f aca="false">(D10+E10)/2*F10</f>
        <v>3</v>
      </c>
    </row>
    <row r="11" customFormat="false" ht="15" hidden="false" customHeight="false" outlineLevel="0" collapsed="false">
      <c r="A11" s="7" t="s">
        <v>42</v>
      </c>
      <c r="B11" s="7" t="s">
        <v>442</v>
      </c>
      <c r="C11" s="7" t="s">
        <v>443</v>
      </c>
      <c r="D11" s="8" t="n">
        <v>1</v>
      </c>
      <c r="E11" s="8" t="n">
        <v>1</v>
      </c>
      <c r="F11" s="12" t="n">
        <v>1</v>
      </c>
      <c r="G11" s="13" t="n">
        <f aca="false">(D11+E11)/2*F11</f>
        <v>1</v>
      </c>
    </row>
    <row r="12" customFormat="false" ht="15" hidden="false" customHeight="false" outlineLevel="0" collapsed="false">
      <c r="A12" s="5" t="s">
        <v>42</v>
      </c>
      <c r="B12" s="5" t="s">
        <v>444</v>
      </c>
      <c r="C12" s="5" t="s">
        <v>445</v>
      </c>
      <c r="D12" s="6" t="n">
        <v>2</v>
      </c>
      <c r="E12" s="6" t="n">
        <v>4</v>
      </c>
      <c r="F12" s="10" t="n">
        <v>1</v>
      </c>
      <c r="G12" s="11" t="n">
        <f aca="false">(D12+E12)/2*F12</f>
        <v>3</v>
      </c>
    </row>
    <row r="13" customFormat="false" ht="15" hidden="false" customHeight="false" outlineLevel="0" collapsed="false">
      <c r="A13" s="7" t="s">
        <v>44</v>
      </c>
      <c r="B13" s="7" t="s">
        <v>446</v>
      </c>
      <c r="C13" s="7" t="s">
        <v>447</v>
      </c>
      <c r="D13" s="8" t="n">
        <v>1</v>
      </c>
      <c r="E13" s="8" t="n">
        <v>2</v>
      </c>
      <c r="F13" s="12" t="n">
        <v>1</v>
      </c>
      <c r="G13" s="13" t="n">
        <f aca="false">(D13+E13)/2*F13</f>
        <v>1.5</v>
      </c>
    </row>
    <row r="14" customFormat="false" ht="15" hidden="false" customHeight="false" outlineLevel="0" collapsed="false">
      <c r="A14" s="5" t="s">
        <v>46</v>
      </c>
      <c r="B14" s="5" t="s">
        <v>448</v>
      </c>
      <c r="C14" s="5" t="s">
        <v>449</v>
      </c>
      <c r="D14" s="6" t="n">
        <v>1</v>
      </c>
      <c r="E14" s="6" t="n">
        <v>3</v>
      </c>
      <c r="F14" s="10" t="n">
        <v>1</v>
      </c>
      <c r="G14" s="11" t="n">
        <f aca="false">(D14+E14)/2*F14</f>
        <v>2</v>
      </c>
    </row>
    <row r="15" customFormat="false" ht="15" hidden="false" customHeight="false" outlineLevel="0" collapsed="false">
      <c r="A15" s="7" t="s">
        <v>46</v>
      </c>
      <c r="B15" s="7" t="s">
        <v>450</v>
      </c>
      <c r="C15" s="7" t="s">
        <v>451</v>
      </c>
      <c r="D15" s="8" t="n">
        <v>3</v>
      </c>
      <c r="E15" s="8" t="n">
        <v>6</v>
      </c>
      <c r="F15" s="12" t="n">
        <v>1</v>
      </c>
      <c r="G15" s="13" t="n">
        <f aca="false">(D15+E15)/2*F15</f>
        <v>4.5</v>
      </c>
    </row>
    <row r="16" customFormat="false" ht="15" hidden="false" customHeight="false" outlineLevel="0" collapsed="false">
      <c r="A16" s="5" t="s">
        <v>48</v>
      </c>
      <c r="B16" s="5" t="s">
        <v>452</v>
      </c>
      <c r="C16" s="5" t="s">
        <v>453</v>
      </c>
      <c r="D16" s="6" t="n">
        <v>1</v>
      </c>
      <c r="E16" s="6" t="n">
        <v>3</v>
      </c>
      <c r="F16" s="10" t="n">
        <v>1</v>
      </c>
      <c r="G16" s="11" t="n">
        <f aca="false">(D16+E16)/2*F16</f>
        <v>2</v>
      </c>
    </row>
    <row r="17" customFormat="false" ht="15" hidden="false" customHeight="false" outlineLevel="0" collapsed="false">
      <c r="A17" s="7" t="s">
        <v>50</v>
      </c>
      <c r="B17" s="7" t="s">
        <v>454</v>
      </c>
      <c r="C17" s="7" t="s">
        <v>455</v>
      </c>
      <c r="D17" s="8" t="n">
        <v>2</v>
      </c>
      <c r="E17" s="8" t="n">
        <v>4</v>
      </c>
      <c r="F17" s="12" t="n">
        <v>1</v>
      </c>
      <c r="G17" s="13" t="n">
        <f aca="false">(D17+E17)/2*F17</f>
        <v>3</v>
      </c>
    </row>
    <row r="18" customFormat="false" ht="15" hidden="false" customHeight="false" outlineLevel="0" collapsed="false">
      <c r="A18" s="5" t="s">
        <v>52</v>
      </c>
      <c r="B18" s="5" t="s">
        <v>456</v>
      </c>
      <c r="C18" s="5" t="s">
        <v>457</v>
      </c>
      <c r="D18" s="6" t="n">
        <v>1</v>
      </c>
      <c r="E18" s="6" t="n">
        <v>2</v>
      </c>
      <c r="F18" s="10" t="n">
        <v>1</v>
      </c>
      <c r="G18" s="11" t="n">
        <f aca="false">(D18+E18)/2*F18</f>
        <v>1.5</v>
      </c>
    </row>
    <row r="19" customFormat="false" ht="15" hidden="false" customHeight="false" outlineLevel="0" collapsed="false">
      <c r="A19" s="7" t="s">
        <v>54</v>
      </c>
      <c r="B19" s="7" t="s">
        <v>458</v>
      </c>
      <c r="C19" s="7" t="s">
        <v>459</v>
      </c>
      <c r="D19" s="8" t="n">
        <v>2</v>
      </c>
      <c r="E19" s="8" t="n">
        <v>4</v>
      </c>
      <c r="F19" s="12" t="n">
        <v>1</v>
      </c>
      <c r="G19" s="13" t="n">
        <f aca="false">(D19+E19)/2*F19</f>
        <v>3</v>
      </c>
    </row>
    <row r="20" customFormat="false" ht="15" hidden="false" customHeight="false" outlineLevel="0" collapsed="false">
      <c r="A20" s="5" t="s">
        <v>54</v>
      </c>
      <c r="B20" s="5" t="s">
        <v>460</v>
      </c>
      <c r="C20" s="5" t="s">
        <v>461</v>
      </c>
      <c r="D20" s="6" t="n">
        <v>1</v>
      </c>
      <c r="E20" s="6" t="n">
        <v>2</v>
      </c>
      <c r="F20" s="10" t="n">
        <v>0.5</v>
      </c>
      <c r="G20" s="11" t="n">
        <f aca="false">(D20+E20)/2*F20</f>
        <v>0.75</v>
      </c>
    </row>
    <row r="21" customFormat="false" ht="15" hidden="false" customHeight="false" outlineLevel="0" collapsed="false">
      <c r="F21" s="14"/>
      <c r="G21" s="15"/>
    </row>
    <row r="22" customFormat="false" ht="15" hidden="false" customHeight="false" outlineLevel="0" collapsed="false">
      <c r="A22" s="9" t="s">
        <v>462</v>
      </c>
      <c r="F22" s="14"/>
      <c r="G22" s="15"/>
    </row>
  </sheetData>
  <autoFilter ref="A1:G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2026-10-10T13:07:44Z</dcterms:created>
  <dc:creator>openpyxl</dc:creator>
  <dc:description/>
  <dc:language>en-US</dc:language>
  <cp:lastModifiedBy/>
  <dcterms:modified xsi:type="dcterms:W3CDTF">2026-10-10T13:07:44Z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